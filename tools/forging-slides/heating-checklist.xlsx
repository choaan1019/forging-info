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am0-my.sharepoint.com/personal/vechen_sram_com/Documents/20_Project_專案/Project/forging-info/tools/forging-slides/"/>
    </mc:Choice>
  </mc:AlternateContent>
  <xr:revisionPtr revIDLastSave="0" documentId="8_{26A69698-15DF-46F5-8070-272727591D73}" xr6:coauthVersionLast="47" xr6:coauthVersionMax="47" xr10:uidLastSave="{00000000-0000-0000-0000-000000000000}"/>
  <bookViews>
    <workbookView xWindow="-120" yWindow="-120" windowWidth="29040" windowHeight="15720" xr2:uid="{76AB9329-8B06-47F9-8C20-C1744FBA6C33}"/>
  </bookViews>
  <sheets>
    <sheet name="Blank" sheetId="4" r:id="rId1"/>
    <sheet name="Sample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4" l="1"/>
  <c r="E70" i="4" a="1"/>
  <c r="E70" i="4" s="1"/>
  <c r="H63" i="4"/>
  <c r="C63" i="4"/>
  <c r="H62" i="4"/>
  <c r="C62" i="4"/>
  <c r="H61" i="4"/>
  <c r="C61" i="4"/>
  <c r="H60" i="4"/>
  <c r="C60" i="4"/>
  <c r="H58" i="4"/>
  <c r="H57" i="4"/>
  <c r="C57" i="4"/>
  <c r="H56" i="4"/>
  <c r="C56" i="4"/>
  <c r="H55" i="4"/>
  <c r="C55" i="4"/>
  <c r="H54" i="4"/>
  <c r="C54" i="4"/>
  <c r="C53" i="4" s="1"/>
  <c r="C52" i="4" s="1"/>
  <c r="C51" i="4" s="1"/>
  <c r="C50" i="4" s="1"/>
  <c r="C49" i="4" s="1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C39" i="4"/>
  <c r="E70" i="3" a="1"/>
  <c r="E70" i="3" s="1"/>
  <c r="H63" i="3"/>
  <c r="C63" i="3"/>
  <c r="H62" i="3"/>
  <c r="C62" i="3"/>
  <c r="H61" i="3"/>
  <c r="C61" i="3"/>
  <c r="H60" i="3"/>
  <c r="C60" i="3"/>
  <c r="H58" i="3"/>
  <c r="E71" i="3" s="1"/>
  <c r="H57" i="3"/>
  <c r="C57" i="3"/>
  <c r="H56" i="3"/>
  <c r="C56" i="3"/>
  <c r="H55" i="3"/>
  <c r="C55" i="3"/>
  <c r="H54" i="3"/>
  <c r="C54" i="3"/>
  <c r="C53" i="3" s="1"/>
  <c r="C52" i="3" s="1"/>
  <c r="C51" i="3" s="1"/>
  <c r="C50" i="3" s="1"/>
  <c r="C49" i="3" s="1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C39" i="3"/>
  <c r="E72" i="4" l="1"/>
  <c r="C48" i="4"/>
  <c r="C47" i="4"/>
  <c r="C46" i="4"/>
  <c r="C45" i="4"/>
  <c r="C44" i="4"/>
  <c r="C43" i="4"/>
  <c r="C42" i="4"/>
  <c r="C41" i="4"/>
  <c r="C40" i="4"/>
  <c r="E72" i="3"/>
  <c r="C43" i="3"/>
  <c r="C42" i="3"/>
  <c r="C41" i="3"/>
  <c r="C40" i="3"/>
  <c r="C48" i="3"/>
  <c r="C47" i="3"/>
  <c r="C46" i="3"/>
  <c r="C45" i="3"/>
  <c r="C4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<sst xmlns="http://schemas.openxmlformats.org/spreadsheetml/2006/main" count="202" uniqueCount="104">
  <si>
    <t>使用時機</t>
  </si>
  <si>
    <t>開發初期驗證1次，製程變更需重新驗證</t>
  </si>
  <si>
    <t>數量</t>
  </si>
  <si>
    <t>至少3pcs</t>
  </si>
  <si>
    <t>設備檢查</t>
  </si>
  <si>
    <t>檢查項目</t>
  </si>
  <si>
    <t>標準要求</t>
  </si>
  <si>
    <t>檢查方式</t>
  </si>
  <si>
    <t>狀況 (✓/✗)</t>
  </si>
  <si>
    <t>備註</t>
  </si>
  <si>
    <t>加熱爐控制系統
(爐長:    M)</t>
  </si>
  <si>
    <r>
      <t xml:space="preserve">*爐溫設定不可接近/超過材料固溶溫度*
</t>
    </r>
    <r>
      <rPr>
        <b/>
        <sz val="12"/>
        <color rgb="FFFF0000"/>
        <rFont val="微軟正黑體"/>
        <family val="2"/>
        <charset val="136"/>
      </rPr>
      <t xml:space="preserve">6-series </t>
    </r>
    <r>
      <rPr>
        <b/>
        <sz val="12"/>
        <color theme="1"/>
        <rFont val="微軟正黑體"/>
        <family val="2"/>
        <charset val="136"/>
      </rPr>
      <t xml:space="preserve">固溶溫度: 520°C , </t>
    </r>
    <r>
      <rPr>
        <b/>
        <sz val="12"/>
        <color rgb="FFFF0000"/>
        <rFont val="微軟正黑體"/>
        <family val="2"/>
        <charset val="136"/>
      </rPr>
      <t xml:space="preserve">爐溫設定不可超過480°C </t>
    </r>
    <r>
      <rPr>
        <b/>
        <sz val="12"/>
        <color theme="1"/>
        <rFont val="微軟正黑體"/>
        <family val="2"/>
        <charset val="136"/>
      </rPr>
      <t xml:space="preserve">
</t>
    </r>
    <r>
      <rPr>
        <b/>
        <sz val="12"/>
        <color rgb="FFFF0000"/>
        <rFont val="微軟正黑體"/>
        <family val="2"/>
        <charset val="136"/>
      </rPr>
      <t xml:space="preserve">7-series </t>
    </r>
    <r>
      <rPr>
        <b/>
        <sz val="12"/>
        <color theme="1"/>
        <rFont val="微軟正黑體"/>
        <family val="2"/>
        <charset val="136"/>
      </rPr>
      <t xml:space="preserve">固溶溫度: 470°C , </t>
    </r>
    <r>
      <rPr>
        <b/>
        <sz val="12"/>
        <color rgb="FFFF0000"/>
        <rFont val="微軟正黑體"/>
        <family val="2"/>
        <charset val="136"/>
      </rPr>
      <t xml:space="preserve">爐溫設定不可超過440°C </t>
    </r>
  </si>
  <si>
    <t>第五段爐溫設定:        °C</t>
  </si>
  <si>
    <t>第六段爐溫設定:        °C</t>
  </si>
  <si>
    <t>第七段爐溫設定:        °C</t>
  </si>
  <si>
    <t>熱電偶測溫儀</t>
  </si>
  <si>
    <t>型號:</t>
  </si>
  <si>
    <t>校驗時間:</t>
    <phoneticPr fontId="2" type="noConversion"/>
  </si>
  <si>
    <t>紀錄器</t>
  </si>
  <si>
    <t>型號:</t>
    <phoneticPr fontId="2" type="noConversion"/>
  </si>
  <si>
    <t>校驗時間:</t>
  </si>
  <si>
    <t>接觸式測溫儀</t>
  </si>
  <si>
    <t>室溫溫度計</t>
  </si>
  <si>
    <t>材料狀況檢查</t>
  </si>
  <si>
    <t>材料類別</t>
  </si>
  <si>
    <t>材質符合 (AL6061、7075等)</t>
  </si>
  <si>
    <t>查看物料清單（BOM）、
製程圖面、入料檢驗報告</t>
  </si>
  <si>
    <t>表面狀況</t>
  </si>
  <si>
    <t>無色差、無氧化層、污染、異物、橘皮破裂、表層起皮、連續氣泡</t>
  </si>
  <si>
    <t>目視檢查</t>
  </si>
  <si>
    <t>尺寸規格</t>
  </si>
  <si>
    <t>1.長度、直徑規格
2.有/無其他共用產品料號</t>
  </si>
  <si>
    <t>測量工具檢驗</t>
  </si>
  <si>
    <t>材料標籤/批號</t>
  </si>
  <si>
    <t>與生產單一致，確保可追溯性</t>
  </si>
  <si>
    <t>查閱標籤與生產記錄
(工單號碼)</t>
  </si>
  <si>
    <r>
      <t xml:space="preserve">🔹 </t>
    </r>
    <r>
      <rPr>
        <b/>
        <sz val="11"/>
        <color rgb="FFFF0000"/>
        <rFont val="微軟正黑體"/>
        <family val="2"/>
        <charset val="136"/>
      </rPr>
      <t>異常處理</t>
    </r>
    <r>
      <rPr>
        <sz val="11"/>
        <color rgb="FFFF0000"/>
        <rFont val="微軟正黑體"/>
        <family val="2"/>
        <charset val="136"/>
      </rPr>
      <t>：若發現材料異常，應停止使用並通報品質檢驗部門。</t>
    </r>
  </si>
  <si>
    <t>加熱過程監測</t>
  </si>
  <si>
    <t>時間 (hh:mm)</t>
  </si>
  <si>
    <t>溫度擷取時間
(min)</t>
  </si>
  <si>
    <t>爐溫設定(段數)</t>
  </si>
  <si>
    <t>室溫溫度 (°C)</t>
  </si>
  <si>
    <t>材料表面溫度 (°C)</t>
  </si>
  <si>
    <t>材料心部溫度 (°C)</t>
  </si>
  <si>
    <t>內外溫差 (°C)</t>
  </si>
  <si>
    <t>開始加熱 (   :    )
加熱結束 (   :    )</t>
  </si>
  <si>
    <t>出爐時間</t>
  </si>
  <si>
    <t>…</t>
  </si>
  <si>
    <r>
      <t xml:space="preserve">🔹 </t>
    </r>
    <r>
      <rPr>
        <b/>
        <sz val="11"/>
        <color rgb="FFFF0000"/>
        <rFont val="微軟正黑體"/>
        <family val="2"/>
        <charset val="136"/>
      </rPr>
      <t>異常處理</t>
    </r>
    <r>
      <rPr>
        <sz val="11"/>
        <color rgb="FFFF0000"/>
        <rFont val="微軟正黑體"/>
        <family val="2"/>
        <charset val="136"/>
      </rPr>
      <t>：</t>
    </r>
  </si>
  <si>
    <r>
      <t xml:space="preserve">若 </t>
    </r>
    <r>
      <rPr>
        <b/>
        <sz val="11"/>
        <color rgb="FFFF0000"/>
        <rFont val="微軟正黑體"/>
        <family val="2"/>
        <charset val="136"/>
      </rPr>
      <t>心部溫度未達標</t>
    </r>
    <r>
      <rPr>
        <sz val="11"/>
        <color rgb="FFFF0000"/>
        <rFont val="微軟正黑體"/>
        <family val="2"/>
        <charset val="136"/>
      </rPr>
      <t>，應延長保溫時間，並檢查熱電偶是否正常。</t>
    </r>
  </si>
  <si>
    <t>判定標準</t>
  </si>
  <si>
    <t>溫度範圍</t>
  </si>
  <si>
    <t>下限</t>
  </si>
  <si>
    <t>上限</t>
  </si>
  <si>
    <t>材料出爐溫度管制標準
(出爐當下)</t>
  </si>
  <si>
    <t>心部-表層溫度差異
(出爐當下)</t>
  </si>
  <si>
    <t>最終判定</t>
  </si>
  <si>
    <t>-</t>
  </si>
  <si>
    <t>通過--&gt; 前兩項都需要pass。
若有異常或其他風險疑慮，請直接
SDE工程師溝通討論。</t>
  </si>
  <si>
    <t>異常記錄與處理</t>
  </si>
  <si>
    <t>異常類別</t>
  </si>
  <si>
    <t>發生時間</t>
  </si>
  <si>
    <t>描述</t>
  </si>
  <si>
    <t>處理方式</t>
  </si>
  <si>
    <t>負責人簽名</t>
  </si>
  <si>
    <t>溫度異常</t>
  </si>
  <si>
    <t>設備故障</t>
  </si>
  <si>
    <t>材料不符規範</t>
  </si>
  <si>
    <t>測溫設備異常</t>
  </si>
  <si>
    <r>
      <t xml:space="preserve">📌 </t>
    </r>
    <r>
      <rPr>
        <b/>
        <sz val="11"/>
        <color theme="1"/>
        <rFont val="微軟正黑體"/>
        <family val="2"/>
        <charset val="136"/>
      </rPr>
      <t>備註</t>
    </r>
    <r>
      <rPr>
        <sz val="11"/>
        <color theme="1"/>
        <rFont val="微軟正黑體"/>
        <family val="2"/>
        <charset val="136"/>
      </rPr>
      <t>：</t>
    </r>
  </si>
  <si>
    <r>
      <t xml:space="preserve">1. 若發生異常，請立即通報 </t>
    </r>
    <r>
      <rPr>
        <b/>
        <sz val="11"/>
        <color rgb="FFFF0000"/>
        <rFont val="微軟正黑體"/>
        <family val="2"/>
        <charset val="136"/>
      </rPr>
      <t>設備維護部門</t>
    </r>
    <r>
      <rPr>
        <sz val="11"/>
        <color rgb="FFFF0000"/>
        <rFont val="微軟正黑體"/>
        <family val="2"/>
        <charset val="136"/>
      </rPr>
      <t xml:space="preserve"> 或 </t>
    </r>
    <r>
      <rPr>
        <b/>
        <sz val="11"/>
        <color rgb="FFFF0000"/>
        <rFont val="微軟正黑體"/>
        <family val="2"/>
        <charset val="136"/>
      </rPr>
      <t>品質檢驗部門</t>
    </r>
    <r>
      <rPr>
        <sz val="11"/>
        <color rgb="FFFF0000"/>
        <rFont val="微軟正黑體"/>
        <family val="2"/>
        <charset val="136"/>
      </rPr>
      <t>。</t>
    </r>
  </si>
  <si>
    <t>2. 記錄詳細問題與處理方式，確保後續追蹤改善。</t>
  </si>
  <si>
    <t>出爐冷卻</t>
  </si>
  <si>
    <t>溫度差異要求:±5°C內</t>
  </si>
  <si>
    <t>取出當下不可高或低於設定溫度範圍</t>
  </si>
  <si>
    <r>
      <t>熱鍛</t>
    </r>
    <r>
      <rPr>
        <b/>
        <sz val="18"/>
        <color rgb="FFFF0000"/>
        <rFont val="微軟正黑體"/>
        <family val="2"/>
        <charset val="136"/>
      </rPr>
      <t>鋁</t>
    </r>
    <r>
      <rPr>
        <b/>
        <sz val="18"/>
        <color theme="1"/>
        <rFont val="微軟正黑體"/>
        <family val="2"/>
        <charset val="136"/>
      </rPr>
      <t>材料加熱製程檢查表(測試樣品: XX.XXXX.XXX.XXX [X/3])</t>
    </r>
  </si>
  <si>
    <t>✓</t>
  </si>
  <si>
    <t>第二段爐溫設定:   400 °C</t>
  </si>
  <si>
    <t>第三段爐溫設定:   400  °C</t>
  </si>
  <si>
    <t>第四段爐溫設定:   400  °C</t>
  </si>
  <si>
    <t>第一段爐溫設定:   400 °C</t>
  </si>
  <si>
    <t>加熱爐轉速設定:    20 RPM</t>
  </si>
  <si>
    <t>校驗時間: 2024/09/22</t>
  </si>
  <si>
    <t>校驗時間: 2024/08/14</t>
    <phoneticPr fontId="0" type="noConversion"/>
  </si>
  <si>
    <t>型號: C01234</t>
  </si>
  <si>
    <t>校驗時間:2024.11.26</t>
  </si>
  <si>
    <t>型號: K type</t>
  </si>
  <si>
    <t>型號: ABCD</t>
  </si>
  <si>
    <t>型號:XXXX</t>
  </si>
  <si>
    <t>🔹異常處理：若檢查異常，請記錄問題點並通知設備維護人員(加熱設備)、品質檢驗部門(量測設備)。</t>
  </si>
  <si>
    <t>材證報告/日期: 20250801</t>
  </si>
  <si>
    <t xml:space="preserve">1.D20*55L 
2.共用30.6118.XXX   </t>
  </si>
  <si>
    <t>材料訂單單號:A012345</t>
  </si>
  <si>
    <t>25°C</t>
  </si>
  <si>
    <t xml:space="preserve">                         📅 日期：______ 🔧 負責人：______ 🏭 設備編號：______(型號:          )</t>
  </si>
  <si>
    <t>第一段爐溫設定:    °C</t>
  </si>
  <si>
    <t>第二段爐溫設定:    °C</t>
  </si>
  <si>
    <t>第三段爐溫設定:     °C</t>
  </si>
  <si>
    <t>第四段爐溫設定:     °C</t>
  </si>
  <si>
    <t>第五段爐溫設定:     °C</t>
  </si>
  <si>
    <t>加熱爐轉速設定:     RPM</t>
  </si>
  <si>
    <t>開始加熱 ( 7 : 32   )
加熱結束(  8 : 32   )</t>
  </si>
  <si>
    <t>加熱爐控制系統
(爐長: 8 M)</t>
  </si>
  <si>
    <t>📅 日期： 2026.01.14  🔧 負責人：製造  🏭 設備編號：A加熱爐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</si>
</sst>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3" x14ac:knownFonts="1">
    <font>
      <sz val="12"/>
      <color theme="1"/>
      <name val="新細明體"/>
      <family val="2"/>
      <charset val="136"/>
      <scheme val="minor"/>
    </font>
    <font>
      <b/>
      <sz val="18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Segoe UI Emoji"/>
      <family val="2"/>
    </font>
    <font>
      <b/>
      <sz val="14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7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b/>
      <sz val="24"/>
      <color rgb="FFFF0000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/>
      <right/>
      <top style="thin">
        <color theme="1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medium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98">
    <xf numFmtId="0" fontId="0" fillId="0" borderId="0" xfId="0"/>
    <xf numFmtId="0" fontId="3" fillId="0" borderId="0" xfId="0" applyFont="1"/>
    <xf numFmtId="0" fontId="8" fillId="0" borderId="0" xfId="0" applyFont="1"/>
    <xf numFmtId="0" fontId="3" fillId="0" borderId="16" xfId="0" applyFont="1" applyBorder="1"/>
    <xf numFmtId="0" fontId="3" fillId="0" borderId="17" xfId="0" applyFont="1" applyBorder="1"/>
    <xf numFmtId="0" fontId="3" fillId="2" borderId="16" xfId="0" applyFont="1" applyFill="1" applyBorder="1" applyAlignment="1" applyProtection="1">
      <alignment vertical="center" wrapText="1"/>
      <protection locked="0"/>
    </xf>
    <xf numFmtId="0" fontId="9" fillId="2" borderId="16" xfId="0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vertical="center" wrapText="1"/>
      <protection locked="0"/>
    </xf>
    <xf numFmtId="0" fontId="3" fillId="2" borderId="16" xfId="0" applyFont="1" applyFill="1" applyBorder="1" applyProtection="1">
      <protection locked="0"/>
    </xf>
    <xf numFmtId="0" fontId="3" fillId="2" borderId="25" xfId="0" applyFont="1" applyFill="1" applyBorder="1" applyProtection="1">
      <protection locked="0"/>
    </xf>
    <xf numFmtId="0" fontId="3" fillId="0" borderId="17" xfId="0" applyFont="1" applyBorder="1" applyProtection="1">
      <protection locked="0"/>
    </xf>
    <xf numFmtId="0" fontId="3" fillId="0" borderId="8" xfId="0" applyFont="1" applyBorder="1"/>
    <xf numFmtId="0" fontId="3" fillId="0" borderId="9" xfId="0" applyFont="1" applyBorder="1"/>
    <xf numFmtId="176" fontId="14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9" fillId="2" borderId="36" xfId="0" applyFont="1" applyFill="1" applyBorder="1" applyAlignment="1" applyProtection="1">
      <alignment horizontal="center" vertical="center" wrapText="1"/>
      <protection locked="0"/>
    </xf>
    <xf numFmtId="0" fontId="9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>
      <alignment horizontal="center" vertical="center"/>
    </xf>
    <xf numFmtId="0" fontId="3" fillId="0" borderId="16" xfId="0" applyFont="1" applyBorder="1" applyAlignment="1" applyProtection="1">
      <alignment vertical="center" wrapText="1"/>
      <protection locked="0"/>
    </xf>
    <xf numFmtId="0" fontId="3" fillId="0" borderId="16" xfId="0" applyFont="1" applyBorder="1" applyProtection="1">
      <protection locked="0"/>
    </xf>
    <xf numFmtId="0" fontId="13" fillId="0" borderId="16" xfId="0" applyFont="1" applyBorder="1"/>
    <xf numFmtId="0" fontId="13" fillId="0" borderId="8" xfId="0" applyFont="1" applyBorder="1"/>
    <xf numFmtId="0" fontId="1" fillId="0" borderId="12" xfId="0" applyFont="1" applyBorder="1" applyAlignment="1" applyProtection="1">
      <alignment vertical="center"/>
      <protection locked="0"/>
    </xf>
    <xf numFmtId="0" fontId="3" fillId="0" borderId="13" xfId="0" applyFont="1" applyBorder="1" applyProtection="1">
      <protection locked="0"/>
    </xf>
    <xf numFmtId="0" fontId="3" fillId="0" borderId="14" xfId="0" applyFont="1" applyBorder="1" applyProtection="1">
      <protection locked="0"/>
    </xf>
    <xf numFmtId="0" fontId="3" fillId="0" borderId="15" xfId="0" applyFont="1" applyBorder="1" applyProtection="1"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1" fillId="0" borderId="31" xfId="0" applyFont="1" applyBorder="1" applyAlignment="1" applyProtection="1">
      <alignment vertical="center"/>
      <protection locked="0"/>
    </xf>
    <xf numFmtId="0" fontId="3" fillId="0" borderId="32" xfId="0" applyFont="1" applyBorder="1" applyProtection="1">
      <protection locked="0"/>
    </xf>
    <xf numFmtId="0" fontId="9" fillId="0" borderId="33" xfId="0" applyFont="1" applyBorder="1" applyAlignment="1" applyProtection="1">
      <alignment horizontal="center" vertical="center" wrapText="1"/>
      <protection locked="0"/>
    </xf>
    <xf numFmtId="0" fontId="9" fillId="0" borderId="32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176" fontId="16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17" fillId="4" borderId="17" xfId="0" applyFont="1" applyFill="1" applyBorder="1" applyAlignment="1">
      <alignment horizontal="center" vertical="center" wrapText="1"/>
    </xf>
    <xf numFmtId="176" fontId="16" fillId="0" borderId="25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6" fillId="4" borderId="16" xfId="0" applyFont="1" applyFill="1" applyBorder="1" applyAlignment="1" applyProtection="1">
      <alignment vertical="center" wrapText="1"/>
      <protection locked="0"/>
    </xf>
    <xf numFmtId="0" fontId="1" fillId="4" borderId="16" xfId="0" applyFont="1" applyFill="1" applyBorder="1" applyAlignment="1" applyProtection="1">
      <alignment vertical="center" wrapText="1"/>
      <protection locked="0"/>
    </xf>
    <xf numFmtId="176" fontId="16" fillId="0" borderId="25" xfId="0" applyNumberFormat="1" applyFont="1" applyBorder="1" applyAlignment="1" applyProtection="1">
      <alignment horizontal="center" vertical="center"/>
      <protection locked="0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vertical="center" wrapText="1"/>
      <protection locked="0"/>
    </xf>
    <xf numFmtId="0" fontId="13" fillId="0" borderId="15" xfId="0" applyFont="1" applyBorder="1" applyAlignment="1" applyProtection="1">
      <alignment horizontal="left" vertical="center" indent="1"/>
      <protection locked="0"/>
    </xf>
    <xf numFmtId="0" fontId="13" fillId="0" borderId="7" xfId="0" applyFont="1" applyBorder="1" applyAlignment="1" applyProtection="1">
      <alignment horizontal="left" vertical="center" indent="1"/>
      <protection locked="0"/>
    </xf>
    <xf numFmtId="0" fontId="3" fillId="0" borderId="0" xfId="0" applyFont="1" applyProtection="1">
      <protection locked="0"/>
    </xf>
    <xf numFmtId="0" fontId="9" fillId="4" borderId="3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44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13" fillId="0" borderId="15" xfId="0" applyFont="1" applyBorder="1"/>
    <xf numFmtId="0" fontId="13" fillId="0" borderId="40" xfId="0" applyFont="1" applyBorder="1"/>
    <xf numFmtId="0" fontId="13" fillId="0" borderId="33" xfId="0" applyFont="1" applyBorder="1"/>
    <xf numFmtId="0" fontId="3" fillId="0" borderId="47" xfId="0" applyFont="1" applyBorder="1"/>
    <xf numFmtId="0" fontId="6" fillId="4" borderId="16" xfId="0" applyFont="1" applyFill="1" applyBorder="1" applyAlignment="1">
      <alignment vertical="center" wrapText="1"/>
    </xf>
    <xf numFmtId="0" fontId="18" fillId="4" borderId="16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left" vertical="center" indent="1"/>
    </xf>
    <xf numFmtId="0" fontId="13" fillId="0" borderId="33" xfId="0" applyFont="1" applyBorder="1" applyAlignment="1">
      <alignment horizontal="left" vertical="center" indent="1"/>
    </xf>
    <xf numFmtId="0" fontId="3" fillId="0" borderId="48" xfId="0" applyFont="1" applyBorder="1"/>
    <xf numFmtId="0" fontId="6" fillId="4" borderId="25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32" xfId="0" applyFont="1" applyBorder="1"/>
    <xf numFmtId="0" fontId="9" fillId="0" borderId="15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3" fillId="0" borderId="19" xfId="0" applyFont="1" applyBorder="1"/>
    <xf numFmtId="0" fontId="3" fillId="0" borderId="16" xfId="0" applyFont="1" applyBorder="1" applyAlignment="1">
      <alignment vertical="center" wrapText="1"/>
    </xf>
    <xf numFmtId="0" fontId="3" fillId="0" borderId="25" xfId="0" applyFont="1" applyBorder="1"/>
    <xf numFmtId="0" fontId="9" fillId="0" borderId="15" xfId="0" applyFont="1" applyBorder="1" applyAlignment="1">
      <alignment vertical="center" wrapText="1"/>
    </xf>
    <xf numFmtId="0" fontId="3" fillId="0" borderId="18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13" fillId="0" borderId="7" xfId="0" applyFont="1" applyBorder="1"/>
    <xf numFmtId="0" fontId="17" fillId="4" borderId="17" xfId="0" applyFont="1" applyFill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vertical="center" wrapText="1"/>
      <protection locked="0"/>
    </xf>
    <xf numFmtId="0" fontId="18" fillId="4" borderId="16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vertical="center" wrapText="1"/>
      <protection locked="0"/>
    </xf>
    <xf numFmtId="0" fontId="9" fillId="0" borderId="38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/>
    </xf>
    <xf numFmtId="0" fontId="3" fillId="2" borderId="16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/>
    <xf numFmtId="0" fontId="3" fillId="2" borderId="25" xfId="0" applyFont="1" applyFill="1" applyBorder="1"/>
    <xf numFmtId="0" fontId="9" fillId="3" borderId="3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1" fontId="9" fillId="3" borderId="35" xfId="0" applyNumberFormat="1" applyFont="1" applyFill="1" applyBorder="1" applyAlignment="1">
      <alignment horizontal="center" vertical="center" wrapText="1"/>
    </xf>
    <xf numFmtId="1" fontId="9" fillId="3" borderId="16" xfId="0" applyNumberFormat="1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13" fillId="0" borderId="15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left" vertical="center" indent="1"/>
    </xf>
    <xf numFmtId="0" fontId="9" fillId="2" borderId="17" xfId="0" applyFont="1" applyFill="1" applyBorder="1" applyAlignment="1" applyProtection="1">
      <alignment horizontal="center" vertical="center" wrapText="1"/>
      <protection locked="0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1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4" fillId="2" borderId="8" xfId="0" applyFont="1" applyFill="1" applyBorder="1" applyAlignment="1" applyProtection="1">
      <alignment horizontal="left" vertical="center"/>
      <protection locked="0"/>
    </xf>
    <xf numFmtId="0" fontId="4" fillId="2" borderId="9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 wrapText="1"/>
      <protection locked="0"/>
    </xf>
    <xf numFmtId="0" fontId="3" fillId="2" borderId="20" xfId="0" applyFont="1" applyFill="1" applyBorder="1" applyAlignment="1" applyProtection="1">
      <alignment horizontal="left" vertical="center" wrapText="1"/>
      <protection locked="0"/>
    </xf>
    <xf numFmtId="0" fontId="3" fillId="2" borderId="23" xfId="0" applyFont="1" applyFill="1" applyBorder="1" applyAlignment="1" applyProtection="1">
      <alignment horizontal="left" vertical="center" wrapText="1"/>
      <protection locked="0"/>
    </xf>
    <xf numFmtId="0" fontId="8" fillId="0" borderId="19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47" xfId="0" applyFont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49" fontId="6" fillId="4" borderId="16" xfId="0" applyNumberFormat="1" applyFont="1" applyFill="1" applyBorder="1" applyAlignment="1" applyProtection="1">
      <alignment horizontal="center" vertical="center"/>
      <protection locked="0"/>
    </xf>
    <xf numFmtId="0" fontId="19" fillId="0" borderId="49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3" fillId="0" borderId="30" xfId="0" applyFont="1" applyBorder="1" applyAlignment="1">
      <alignment horizontal="left" wrapText="1"/>
    </xf>
    <xf numFmtId="0" fontId="21" fillId="2" borderId="34" xfId="0" applyFont="1" applyFill="1" applyBorder="1" applyAlignment="1" applyProtection="1">
      <alignment horizontal="center" vertical="center" wrapText="1"/>
      <protection locked="0"/>
    </xf>
    <xf numFmtId="0" fontId="21" fillId="2" borderId="38" xfId="0" applyFont="1" applyFill="1" applyBorder="1" applyAlignment="1" applyProtection="1">
      <alignment horizontal="center" vertical="center" wrapText="1"/>
      <protection locked="0"/>
    </xf>
    <xf numFmtId="0" fontId="3" fillId="2" borderId="37" xfId="0" applyFont="1" applyFill="1" applyBorder="1" applyAlignment="1" applyProtection="1">
      <alignment horizontal="center" vertical="center" wrapText="1"/>
      <protection locked="0"/>
    </xf>
    <xf numFmtId="0" fontId="3" fillId="2" borderId="39" xfId="0" applyFont="1" applyFill="1" applyBorder="1" applyAlignment="1" applyProtection="1">
      <alignment horizontal="center" vertical="center" wrapText="1"/>
      <protection locked="0"/>
    </xf>
    <xf numFmtId="0" fontId="3" fillId="2" borderId="40" xfId="0" applyFont="1" applyFill="1" applyBorder="1" applyAlignment="1" applyProtection="1">
      <alignment horizontal="center" vertical="center" wrapText="1"/>
      <protection locked="0"/>
    </xf>
    <xf numFmtId="0" fontId="3" fillId="2" borderId="46" xfId="0" applyFont="1" applyFill="1" applyBorder="1" applyAlignment="1" applyProtection="1">
      <alignment horizontal="center" vertical="center" wrapText="1"/>
      <protection locked="0"/>
    </xf>
    <xf numFmtId="0" fontId="21" fillId="0" borderId="34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49" fontId="6" fillId="4" borderId="16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800" b="1" i="0" u="none" strike="noStrike" kern="1200" spc="0" baseline="0" dirty="0">
                <a:solidFill>
                  <a:srgbClr val="00B05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材料出加熱爐，夾取鍛打時間掌握</a:t>
            </a:r>
            <a:endParaRPr lang="en-US" sz="1800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出爐時間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'[1]Blank (2)'!$C$66:$C$69</c:f>
              <c:numCache>
                <c:formatCode>General</c:formatCode>
                <c:ptCount val="4"/>
                <c:pt idx="0">
                  <c:v>60.5</c:v>
                </c:pt>
                <c:pt idx="1">
                  <c:v>61</c:v>
                </c:pt>
                <c:pt idx="2">
                  <c:v>61.5</c:v>
                </c:pt>
                <c:pt idx="3">
                  <c:v>62</c:v>
                </c:pt>
              </c:numCache>
            </c:numRef>
          </c:cat>
          <c:val>
            <c:numRef>
              <c:f>Blank!$C$60:$C$63</c:f>
              <c:numCache>
                <c:formatCode>General</c:formatCode>
                <c:ptCount val="4"/>
                <c:pt idx="0">
                  <c:v>60.5</c:v>
                </c:pt>
                <c:pt idx="1">
                  <c:v>61</c:v>
                </c:pt>
                <c:pt idx="2">
                  <c:v>61.5</c:v>
                </c:pt>
                <c:pt idx="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4-4E48-90BB-288B84A04502}"/>
            </c:ext>
          </c:extLst>
        </c:ser>
        <c:ser>
          <c:idx val="0"/>
          <c:order val="1"/>
          <c:tx>
            <c:strRef>
              <c:f>Blank!$F$38</c:f>
              <c:strCache>
                <c:ptCount val="1"/>
                <c:pt idx="0">
                  <c:v>材料表面溫度 (°C)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Blank!$F$60:$F$63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4-4E48-90BB-288B84A04502}"/>
            </c:ext>
          </c:extLst>
        </c:ser>
        <c:ser>
          <c:idx val="2"/>
          <c:order val="2"/>
          <c:tx>
            <c:strRef>
              <c:f>Blank!$C$69</c:f>
              <c:strCache>
                <c:ptCount val="1"/>
                <c:pt idx="0">
                  <c:v>下限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(Blank!$C$70,Blank!$C$70,Blank!$C$70,Blank!$C$70)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4-4E48-90BB-288B84A04502}"/>
            </c:ext>
          </c:extLst>
        </c:ser>
        <c:ser>
          <c:idx val="3"/>
          <c:order val="3"/>
          <c:tx>
            <c:strRef>
              <c:f>Blank!$G$38</c:f>
              <c:strCache>
                <c:ptCount val="1"/>
                <c:pt idx="0">
                  <c:v>材料心部溫度 (°C)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val>
            <c:numRef>
              <c:f>Blank!$G$60:$G$63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14-4E48-90BB-288B84A04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773440"/>
        <c:axId val="1305353696"/>
      </c:lineChart>
      <c:catAx>
        <c:axId val="138077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 sz="1050" b="1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時間</a:t>
                </a:r>
              </a:p>
            </c:rich>
          </c:tx>
          <c:layout>
            <c:manualLayout>
              <c:xMode val="edge"/>
              <c:yMode val="edge"/>
              <c:x val="0.48788500000000001"/>
              <c:y val="0.937017037037036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353696"/>
        <c:crosses val="autoZero"/>
        <c:auto val="1"/>
        <c:lblAlgn val="ctr"/>
        <c:lblOffset val="100"/>
        <c:noMultiLvlLbl val="0"/>
      </c:catAx>
      <c:valAx>
        <c:axId val="1305353696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200" b="1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材料溫度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066444444444445"/>
          <c:y val="0.88740481481481481"/>
          <c:w val="0.4878153902427344"/>
          <c:h val="5.3372203091998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800" b="1" i="0" u="none" strike="noStrike" kern="1200" spc="0" baseline="0" dirty="0">
                <a:solidFill>
                  <a:srgbClr val="00B05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確保材料加熱至合適</a:t>
            </a:r>
            <a:r>
              <a:rPr lang="en-US" altLang="en-US" sz="1800" b="1" i="0" u="none" strike="noStrike" kern="1200" spc="0" baseline="0" dirty="0" err="1">
                <a:solidFill>
                  <a:srgbClr val="00B05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鍛造溫度</a:t>
            </a:r>
            <a:endParaRPr lang="en-US" sz="1800" b="1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材料表面溫度 (°C)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Blank!$C$39:$C$58</c:f>
              <c:numCache>
                <c:formatCode>0</c:formatCode>
                <c:ptCount val="20"/>
                <c:pt idx="0" formatCode="General">
                  <c:v>0</c:v>
                </c:pt>
                <c:pt idx="1">
                  <c:v>5.1000000000000005</c:v>
                </c:pt>
                <c:pt idx="2">
                  <c:v>10.200000000000001</c:v>
                </c:pt>
                <c:pt idx="3">
                  <c:v>15.299999999999999</c:v>
                </c:pt>
                <c:pt idx="4">
                  <c:v>20.400000000000002</c:v>
                </c:pt>
                <c:pt idx="5">
                  <c:v>25.5</c:v>
                </c:pt>
                <c:pt idx="6">
                  <c:v>30.599999999999998</c:v>
                </c:pt>
                <c:pt idx="7">
                  <c:v>35.699999999999996</c:v>
                </c:pt>
                <c:pt idx="8">
                  <c:v>40.800000000000004</c:v>
                </c:pt>
                <c:pt idx="9">
                  <c:v>45.9</c:v>
                </c:pt>
                <c:pt idx="10" formatCode="General">
                  <c:v>51</c:v>
                </c:pt>
                <c:pt idx="11" formatCode="General">
                  <c:v>52</c:v>
                </c:pt>
                <c:pt idx="12" formatCode="General">
                  <c:v>53</c:v>
                </c:pt>
                <c:pt idx="13" formatCode="General">
                  <c:v>54</c:v>
                </c:pt>
                <c:pt idx="14" formatCode="General">
                  <c:v>55</c:v>
                </c:pt>
                <c:pt idx="15" formatCode="General">
                  <c:v>56</c:v>
                </c:pt>
                <c:pt idx="16" formatCode="General">
                  <c:v>57</c:v>
                </c:pt>
                <c:pt idx="17" formatCode="General">
                  <c:v>58</c:v>
                </c:pt>
                <c:pt idx="18" formatCode="General">
                  <c:v>59</c:v>
                </c:pt>
                <c:pt idx="19" formatCode="General">
                  <c:v>60</c:v>
                </c:pt>
              </c:numCache>
            </c:numRef>
          </c:xVal>
          <c:yVal>
            <c:numRef>
              <c:f>Blank!$F$39:$F$58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1-49FE-ABB0-D68E1D5467CD}"/>
            </c:ext>
          </c:extLst>
        </c:ser>
        <c:ser>
          <c:idx val="1"/>
          <c:order val="1"/>
          <c:tx>
            <c:v>下限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(Blank!$C$39,Blank!$C$58)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(Blank!$C$70,Blank!$C$70)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71-49FE-ABB0-D68E1D5467CD}"/>
            </c:ext>
          </c:extLst>
        </c:ser>
        <c:ser>
          <c:idx val="2"/>
          <c:order val="2"/>
          <c:tx>
            <c:v>上限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(Blank!$C$58,Blank!$C$39)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xVal>
          <c:yVal>
            <c:numRef>
              <c:f>(Blank!$D$70,Blank!$D$70)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71-49FE-ABB0-D68E1D5467CD}"/>
            </c:ext>
          </c:extLst>
        </c:ser>
        <c:ser>
          <c:idx val="3"/>
          <c:order val="3"/>
          <c:tx>
            <c:strRef>
              <c:f>Blank!$G$38</c:f>
              <c:strCache>
                <c:ptCount val="1"/>
                <c:pt idx="0">
                  <c:v>材料心部溫度 (°C)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Blank!$C$39:$C$58</c:f>
              <c:numCache>
                <c:formatCode>0</c:formatCode>
                <c:ptCount val="20"/>
                <c:pt idx="0" formatCode="General">
                  <c:v>0</c:v>
                </c:pt>
                <c:pt idx="1">
                  <c:v>5.1000000000000005</c:v>
                </c:pt>
                <c:pt idx="2">
                  <c:v>10.200000000000001</c:v>
                </c:pt>
                <c:pt idx="3">
                  <c:v>15.299999999999999</c:v>
                </c:pt>
                <c:pt idx="4">
                  <c:v>20.400000000000002</c:v>
                </c:pt>
                <c:pt idx="5">
                  <c:v>25.5</c:v>
                </c:pt>
                <c:pt idx="6">
                  <c:v>30.599999999999998</c:v>
                </c:pt>
                <c:pt idx="7">
                  <c:v>35.699999999999996</c:v>
                </c:pt>
                <c:pt idx="8">
                  <c:v>40.800000000000004</c:v>
                </c:pt>
                <c:pt idx="9">
                  <c:v>45.9</c:v>
                </c:pt>
                <c:pt idx="10" formatCode="General">
                  <c:v>51</c:v>
                </c:pt>
                <c:pt idx="11" formatCode="General">
                  <c:v>52</c:v>
                </c:pt>
                <c:pt idx="12" formatCode="General">
                  <c:v>53</c:v>
                </c:pt>
                <c:pt idx="13" formatCode="General">
                  <c:v>54</c:v>
                </c:pt>
                <c:pt idx="14" formatCode="General">
                  <c:v>55</c:v>
                </c:pt>
                <c:pt idx="15" formatCode="General">
                  <c:v>56</c:v>
                </c:pt>
                <c:pt idx="16" formatCode="General">
                  <c:v>57</c:v>
                </c:pt>
                <c:pt idx="17" formatCode="General">
                  <c:v>58</c:v>
                </c:pt>
                <c:pt idx="18" formatCode="General">
                  <c:v>59</c:v>
                </c:pt>
                <c:pt idx="19" formatCode="General">
                  <c:v>60</c:v>
                </c:pt>
              </c:numCache>
            </c:numRef>
          </c:xVal>
          <c:yVal>
            <c:numRef>
              <c:f>Blank!$G$39:$G$58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71-49FE-ABB0-D68E1D5467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78559744"/>
        <c:axId val="1378560704"/>
      </c:scatterChart>
      <c:valAx>
        <c:axId val="137855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200" b="1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時間</a:t>
                </a:r>
              </a:p>
            </c:rich>
          </c:tx>
          <c:layout>
            <c:manualLayout>
              <c:xMode val="edge"/>
              <c:yMode val="edge"/>
              <c:x val="0.49797712726524007"/>
              <c:y val="0.934885473251013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60704"/>
        <c:crosses val="autoZero"/>
        <c:crossBetween val="midCat"/>
      </c:valAx>
      <c:valAx>
        <c:axId val="13785607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200" b="1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材料溫度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5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463339255145059"/>
          <c:y val="0.88399114689664382"/>
          <c:w val="0.51365016381993656"/>
          <c:h val="4.0891034324855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alpha val="41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800" b="1" i="0" u="none" strike="noStrike" kern="1200" spc="0" baseline="0" dirty="0">
                <a:solidFill>
                  <a:srgbClr val="00B05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材料出加熱爐，夾取鍛打時間掌握</a:t>
            </a:r>
            <a:endParaRPr lang="en-US" sz="1800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出爐時間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'[1]Blank (2)'!$C$66:$C$69</c:f>
              <c:numCache>
                <c:formatCode>General</c:formatCode>
                <c:ptCount val="4"/>
                <c:pt idx="0">
                  <c:v>60.5</c:v>
                </c:pt>
                <c:pt idx="1">
                  <c:v>61</c:v>
                </c:pt>
                <c:pt idx="2">
                  <c:v>61.5</c:v>
                </c:pt>
                <c:pt idx="3">
                  <c:v>62</c:v>
                </c:pt>
              </c:numCache>
            </c:numRef>
          </c:cat>
          <c:val>
            <c:numRef>
              <c:f>Sample!$C$60:$C$63</c:f>
              <c:numCache>
                <c:formatCode>General</c:formatCode>
                <c:ptCount val="4"/>
                <c:pt idx="0">
                  <c:v>60.5</c:v>
                </c:pt>
                <c:pt idx="1">
                  <c:v>61</c:v>
                </c:pt>
                <c:pt idx="2">
                  <c:v>61.5</c:v>
                </c:pt>
                <c:pt idx="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7D-4C2F-90D3-2DC6A5A31B0D}"/>
            </c:ext>
          </c:extLst>
        </c:ser>
        <c:ser>
          <c:idx val="0"/>
          <c:order val="1"/>
          <c:tx>
            <c:strRef>
              <c:f>Sample!$F$38</c:f>
              <c:strCache>
                <c:ptCount val="1"/>
                <c:pt idx="0">
                  <c:v>材料表面溫度 (°C)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Sample!$F$60:$F$63</c:f>
              <c:numCache>
                <c:formatCode>General</c:formatCode>
                <c:ptCount val="4"/>
                <c:pt idx="0">
                  <c:v>416</c:v>
                </c:pt>
                <c:pt idx="1">
                  <c:v>411</c:v>
                </c:pt>
                <c:pt idx="2">
                  <c:v>400</c:v>
                </c:pt>
                <c:pt idx="3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7D-4C2F-90D3-2DC6A5A31B0D}"/>
            </c:ext>
          </c:extLst>
        </c:ser>
        <c:ser>
          <c:idx val="2"/>
          <c:order val="2"/>
          <c:tx>
            <c:strRef>
              <c:f>Sample!$C$69</c:f>
              <c:strCache>
                <c:ptCount val="1"/>
                <c:pt idx="0">
                  <c:v>下限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(Sample!$C$70,Sample!$C$70,Sample!$C$70,Sample!$C$70)</c:f>
              <c:numCache>
                <c:formatCode>General</c:formatCode>
                <c:ptCount val="4"/>
                <c:pt idx="0">
                  <c:v>380</c:v>
                </c:pt>
                <c:pt idx="1">
                  <c:v>380</c:v>
                </c:pt>
                <c:pt idx="2">
                  <c:v>380</c:v>
                </c:pt>
                <c:pt idx="3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7D-4C2F-90D3-2DC6A5A31B0D}"/>
            </c:ext>
          </c:extLst>
        </c:ser>
        <c:ser>
          <c:idx val="3"/>
          <c:order val="3"/>
          <c:tx>
            <c:strRef>
              <c:f>Sample!$G$38</c:f>
              <c:strCache>
                <c:ptCount val="1"/>
                <c:pt idx="0">
                  <c:v>材料心部溫度 (°C)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val>
            <c:numRef>
              <c:f>Sample!$G$60:$G$63</c:f>
              <c:numCache>
                <c:formatCode>General</c:formatCode>
                <c:ptCount val="4"/>
                <c:pt idx="0">
                  <c:v>439.8</c:v>
                </c:pt>
                <c:pt idx="1">
                  <c:v>432.3</c:v>
                </c:pt>
                <c:pt idx="2">
                  <c:v>426</c:v>
                </c:pt>
                <c:pt idx="3">
                  <c:v>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7D-4C2F-90D3-2DC6A5A31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773440"/>
        <c:axId val="1305353696"/>
      </c:lineChart>
      <c:catAx>
        <c:axId val="138077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 sz="1050" b="1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時間</a:t>
                </a:r>
              </a:p>
            </c:rich>
          </c:tx>
          <c:layout>
            <c:manualLayout>
              <c:xMode val="edge"/>
              <c:yMode val="edge"/>
              <c:x val="0.48788500000000001"/>
              <c:y val="0.937017037037036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353696"/>
        <c:crosses val="autoZero"/>
        <c:auto val="1"/>
        <c:lblAlgn val="ctr"/>
        <c:lblOffset val="100"/>
        <c:noMultiLvlLbl val="0"/>
      </c:catAx>
      <c:valAx>
        <c:axId val="1305353696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200" b="1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材料溫度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066444444444445"/>
          <c:y val="0.88740481481481481"/>
          <c:w val="0.4878153902427344"/>
          <c:h val="5.3372203091998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800" b="1" i="0" u="none" strike="noStrike" kern="1200" spc="0" baseline="0" dirty="0">
                <a:solidFill>
                  <a:srgbClr val="00B05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確保材料加熱至合適</a:t>
            </a:r>
            <a:r>
              <a:rPr lang="en-US" altLang="en-US" sz="1800" b="1" i="0" u="none" strike="noStrike" kern="1200" spc="0" baseline="0" dirty="0" err="1">
                <a:solidFill>
                  <a:srgbClr val="00B05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鍛造溫度</a:t>
            </a:r>
            <a:endParaRPr lang="en-US" sz="1800" b="1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材料表面溫度 (°C)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Sample!$C$39:$C$58</c:f>
              <c:numCache>
                <c:formatCode>0</c:formatCode>
                <c:ptCount val="20"/>
                <c:pt idx="0" formatCode="General">
                  <c:v>0</c:v>
                </c:pt>
                <c:pt idx="1">
                  <c:v>5.1000000000000005</c:v>
                </c:pt>
                <c:pt idx="2">
                  <c:v>10.200000000000001</c:v>
                </c:pt>
                <c:pt idx="3">
                  <c:v>15.299999999999999</c:v>
                </c:pt>
                <c:pt idx="4">
                  <c:v>20.400000000000002</c:v>
                </c:pt>
                <c:pt idx="5">
                  <c:v>25.5</c:v>
                </c:pt>
                <c:pt idx="6">
                  <c:v>30.599999999999998</c:v>
                </c:pt>
                <c:pt idx="7">
                  <c:v>35.699999999999996</c:v>
                </c:pt>
                <c:pt idx="8">
                  <c:v>40.800000000000004</c:v>
                </c:pt>
                <c:pt idx="9">
                  <c:v>45.9</c:v>
                </c:pt>
                <c:pt idx="10" formatCode="General">
                  <c:v>51</c:v>
                </c:pt>
                <c:pt idx="11" formatCode="General">
                  <c:v>52</c:v>
                </c:pt>
                <c:pt idx="12" formatCode="General">
                  <c:v>53</c:v>
                </c:pt>
                <c:pt idx="13" formatCode="General">
                  <c:v>54</c:v>
                </c:pt>
                <c:pt idx="14" formatCode="General">
                  <c:v>55</c:v>
                </c:pt>
                <c:pt idx="15" formatCode="General">
                  <c:v>56</c:v>
                </c:pt>
                <c:pt idx="16" formatCode="General">
                  <c:v>57</c:v>
                </c:pt>
                <c:pt idx="17" formatCode="General">
                  <c:v>58</c:v>
                </c:pt>
                <c:pt idx="18" formatCode="General">
                  <c:v>59</c:v>
                </c:pt>
                <c:pt idx="19" formatCode="General">
                  <c:v>60</c:v>
                </c:pt>
              </c:numCache>
            </c:numRef>
          </c:xVal>
          <c:yVal>
            <c:numRef>
              <c:f>Sample!$F$39:$F$58</c:f>
              <c:numCache>
                <c:formatCode>General</c:formatCode>
                <c:ptCount val="20"/>
                <c:pt idx="0">
                  <c:v>18.8</c:v>
                </c:pt>
                <c:pt idx="1">
                  <c:v>348.4</c:v>
                </c:pt>
                <c:pt idx="2">
                  <c:v>431.9</c:v>
                </c:pt>
                <c:pt idx="3">
                  <c:v>450.5</c:v>
                </c:pt>
                <c:pt idx="4">
                  <c:v>448.5</c:v>
                </c:pt>
                <c:pt idx="5">
                  <c:v>447.6</c:v>
                </c:pt>
                <c:pt idx="6">
                  <c:v>453.4</c:v>
                </c:pt>
                <c:pt idx="7">
                  <c:v>448.3</c:v>
                </c:pt>
                <c:pt idx="8">
                  <c:v>450.6</c:v>
                </c:pt>
                <c:pt idx="9">
                  <c:v>449.5</c:v>
                </c:pt>
                <c:pt idx="10">
                  <c:v>450.1</c:v>
                </c:pt>
                <c:pt idx="11">
                  <c:v>449.5</c:v>
                </c:pt>
                <c:pt idx="12">
                  <c:v>450.6</c:v>
                </c:pt>
                <c:pt idx="13">
                  <c:v>451.2</c:v>
                </c:pt>
                <c:pt idx="14">
                  <c:v>451.9</c:v>
                </c:pt>
                <c:pt idx="15">
                  <c:v>450.1</c:v>
                </c:pt>
                <c:pt idx="16">
                  <c:v>451.9</c:v>
                </c:pt>
                <c:pt idx="17">
                  <c:v>451.3</c:v>
                </c:pt>
                <c:pt idx="18">
                  <c:v>450.5</c:v>
                </c:pt>
                <c:pt idx="19">
                  <c:v>450.1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2-4F7E-B232-4B6E678B473D}"/>
            </c:ext>
          </c:extLst>
        </c:ser>
        <c:ser>
          <c:idx val="1"/>
          <c:order val="1"/>
          <c:tx>
            <c:v>下限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(Sample!$C$39,Sample!$C$58)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(Sample!$C$70,Sample!$C$70)</c:f>
              <c:numCache>
                <c:formatCode>General</c:formatCode>
                <c:ptCount val="2"/>
                <c:pt idx="0">
                  <c:v>380</c:v>
                </c:pt>
                <c:pt idx="1">
                  <c:v>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2-4F7E-B232-4B6E678B473D}"/>
            </c:ext>
          </c:extLst>
        </c:ser>
        <c:ser>
          <c:idx val="2"/>
          <c:order val="2"/>
          <c:tx>
            <c:v>上限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(Sample!$C$58,Sample!$C$39)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xVal>
          <c:yVal>
            <c:numRef>
              <c:f>(Sample!$D$70,Sample!$D$70)</c:f>
              <c:numCache>
                <c:formatCode>General</c:formatCode>
                <c:ptCount val="2"/>
                <c:pt idx="0">
                  <c:v>460</c:v>
                </c:pt>
                <c:pt idx="1">
                  <c:v>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2-4F7E-B232-4B6E678B473D}"/>
            </c:ext>
          </c:extLst>
        </c:ser>
        <c:ser>
          <c:idx val="3"/>
          <c:order val="3"/>
          <c:tx>
            <c:strRef>
              <c:f>Sample!$G$38</c:f>
              <c:strCache>
                <c:ptCount val="1"/>
                <c:pt idx="0">
                  <c:v>材料心部溫度 (°C)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Sample!$C$39:$C$58</c:f>
              <c:numCache>
                <c:formatCode>0</c:formatCode>
                <c:ptCount val="20"/>
                <c:pt idx="0" formatCode="General">
                  <c:v>0</c:v>
                </c:pt>
                <c:pt idx="1">
                  <c:v>5.1000000000000005</c:v>
                </c:pt>
                <c:pt idx="2">
                  <c:v>10.200000000000001</c:v>
                </c:pt>
                <c:pt idx="3">
                  <c:v>15.299999999999999</c:v>
                </c:pt>
                <c:pt idx="4">
                  <c:v>20.400000000000002</c:v>
                </c:pt>
                <c:pt idx="5">
                  <c:v>25.5</c:v>
                </c:pt>
                <c:pt idx="6">
                  <c:v>30.599999999999998</c:v>
                </c:pt>
                <c:pt idx="7">
                  <c:v>35.699999999999996</c:v>
                </c:pt>
                <c:pt idx="8">
                  <c:v>40.800000000000004</c:v>
                </c:pt>
                <c:pt idx="9">
                  <c:v>45.9</c:v>
                </c:pt>
                <c:pt idx="10" formatCode="General">
                  <c:v>51</c:v>
                </c:pt>
                <c:pt idx="11" formatCode="General">
                  <c:v>52</c:v>
                </c:pt>
                <c:pt idx="12" formatCode="General">
                  <c:v>53</c:v>
                </c:pt>
                <c:pt idx="13" formatCode="General">
                  <c:v>54</c:v>
                </c:pt>
                <c:pt idx="14" formatCode="General">
                  <c:v>55</c:v>
                </c:pt>
                <c:pt idx="15" formatCode="General">
                  <c:v>56</c:v>
                </c:pt>
                <c:pt idx="16" formatCode="General">
                  <c:v>57</c:v>
                </c:pt>
                <c:pt idx="17" formatCode="General">
                  <c:v>58</c:v>
                </c:pt>
                <c:pt idx="18" formatCode="General">
                  <c:v>59</c:v>
                </c:pt>
                <c:pt idx="19" formatCode="General">
                  <c:v>60</c:v>
                </c:pt>
              </c:numCache>
            </c:numRef>
          </c:xVal>
          <c:yVal>
            <c:numRef>
              <c:f>Sample!$G$39:$G$58</c:f>
              <c:numCache>
                <c:formatCode>General</c:formatCode>
                <c:ptCount val="20"/>
                <c:pt idx="0">
                  <c:v>18.8</c:v>
                </c:pt>
                <c:pt idx="1">
                  <c:v>284.5</c:v>
                </c:pt>
                <c:pt idx="2">
                  <c:v>418.1</c:v>
                </c:pt>
                <c:pt idx="3">
                  <c:v>433</c:v>
                </c:pt>
                <c:pt idx="4">
                  <c:v>437.3</c:v>
                </c:pt>
                <c:pt idx="5">
                  <c:v>440.5</c:v>
                </c:pt>
                <c:pt idx="6">
                  <c:v>442.2</c:v>
                </c:pt>
                <c:pt idx="7">
                  <c:v>443.6</c:v>
                </c:pt>
                <c:pt idx="8">
                  <c:v>444.9</c:v>
                </c:pt>
                <c:pt idx="9">
                  <c:v>446.5</c:v>
                </c:pt>
                <c:pt idx="10">
                  <c:v>445.3</c:v>
                </c:pt>
                <c:pt idx="11">
                  <c:v>447.2</c:v>
                </c:pt>
                <c:pt idx="12">
                  <c:v>447.4</c:v>
                </c:pt>
                <c:pt idx="13">
                  <c:v>448.3</c:v>
                </c:pt>
                <c:pt idx="14">
                  <c:v>449.6</c:v>
                </c:pt>
                <c:pt idx="15">
                  <c:v>450.5</c:v>
                </c:pt>
                <c:pt idx="16">
                  <c:v>450.8</c:v>
                </c:pt>
                <c:pt idx="17">
                  <c:v>451.1</c:v>
                </c:pt>
                <c:pt idx="18">
                  <c:v>450.4</c:v>
                </c:pt>
                <c:pt idx="19">
                  <c:v>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62-4F7E-B232-4B6E678B47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78559744"/>
        <c:axId val="1378560704"/>
      </c:scatterChart>
      <c:valAx>
        <c:axId val="137855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200" b="1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時間</a:t>
                </a:r>
              </a:p>
            </c:rich>
          </c:tx>
          <c:layout>
            <c:manualLayout>
              <c:xMode val="edge"/>
              <c:yMode val="edge"/>
              <c:x val="0.49797712726524007"/>
              <c:y val="0.934885473251013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60704"/>
        <c:crosses val="autoZero"/>
        <c:crossBetween val="midCat"/>
      </c:valAx>
      <c:valAx>
        <c:axId val="13785607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200" b="1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材料溫度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5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463339255145059"/>
          <c:y val="0.88399114689664382"/>
          <c:w val="0.51365016381993656"/>
          <c:h val="4.0891034324855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alpha val="41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288015</xdr:colOff>
      <xdr:row>0</xdr:row>
      <xdr:rowOff>129542</xdr:rowOff>
    </xdr:from>
    <xdr:to>
      <xdr:col>8</xdr:col>
      <xdr:colOff>169482</xdr:colOff>
      <xdr:row>33</xdr:row>
      <xdr:rowOff>172795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6228CD9E-ACDB-40C9-AE32-37ED7D2E3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6015" y="129542"/>
          <a:ext cx="2738967" cy="8109023"/>
        </a:xfrm>
        <a:prstGeom prst="rect">
          <a:avLst/>
        </a:prstGeom>
      </xdr:spPr>
    </xdr:pic>
    <xdr:clientData/>
  </xdr:twoCellAnchor>
  <xdr:twoCellAnchor editAs="oneCell">
    <xdr:from>
      <xdr:col>8</xdr:col>
      <xdr:colOff>408819</xdr:colOff>
      <xdr:row>22</xdr:row>
      <xdr:rowOff>25613</xdr:rowOff>
    </xdr:from>
    <xdr:to>
      <xdr:col>10</xdr:col>
      <xdr:colOff>1083515</xdr:colOff>
      <xdr:row>33</xdr:row>
      <xdr:rowOff>131221</xdr:rowOff>
    </xdr:to>
    <xdr:pic>
      <xdr:nvPicPr>
        <xdr:cNvPr id="3" name="Picture 2" descr="Illustration of a profile without surface defects (a), with blisters (b), with a skid mark (c) and with scratches (d). The skid mark is the light gray top-to-bottom line on the aluminum profile. The yellow line results from a reflection of the factory’s lighting system">
          <a:extLst>
            <a:ext uri="{FF2B5EF4-FFF2-40B4-BE49-F238E27FC236}">
              <a16:creationId xmlns:a16="http://schemas.microsoft.com/office/drawing/2014/main" id="{AE33740F-52DE-4466-9068-CB2E59A8E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6699" y="4910033"/>
          <a:ext cx="3532196" cy="3292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319219</xdr:colOff>
      <xdr:row>67</xdr:row>
      <xdr:rowOff>235529</xdr:rowOff>
    </xdr:from>
    <xdr:to>
      <xdr:col>28</xdr:col>
      <xdr:colOff>242455</xdr:colOff>
      <xdr:row>80</xdr:row>
      <xdr:rowOff>142241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AA8A76A3-48F3-4AE0-B7F2-3AFF00984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302722</xdr:colOff>
      <xdr:row>67</xdr:row>
      <xdr:rowOff>220634</xdr:rowOff>
    </xdr:from>
    <xdr:to>
      <xdr:col>13</xdr:col>
      <xdr:colOff>105432</xdr:colOff>
      <xdr:row>85</xdr:row>
      <xdr:rowOff>69464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DCDCFD-BD4A-4A5F-84BA-1DD847E13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288015</xdr:colOff>
      <xdr:row>0</xdr:row>
      <xdr:rowOff>129542</xdr:rowOff>
    </xdr:from>
    <xdr:to>
      <xdr:col>8</xdr:col>
      <xdr:colOff>177102</xdr:colOff>
      <xdr:row>33</xdr:row>
      <xdr:rowOff>161365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3025D2BF-EC8B-4BA0-884E-9DA4F2F67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7050" y="129542"/>
          <a:ext cx="2739864" cy="8117988"/>
        </a:xfrm>
        <a:prstGeom prst="rect">
          <a:avLst/>
        </a:prstGeom>
      </xdr:spPr>
    </xdr:pic>
    <xdr:clientData/>
  </xdr:twoCellAnchor>
  <xdr:twoCellAnchor editAs="oneCell">
    <xdr:from>
      <xdr:col>8</xdr:col>
      <xdr:colOff>408819</xdr:colOff>
      <xdr:row>22</xdr:row>
      <xdr:rowOff>25613</xdr:rowOff>
    </xdr:from>
    <xdr:to>
      <xdr:col>10</xdr:col>
      <xdr:colOff>1091135</xdr:colOff>
      <xdr:row>33</xdr:row>
      <xdr:rowOff>125506</xdr:rowOff>
    </xdr:to>
    <xdr:pic>
      <xdr:nvPicPr>
        <xdr:cNvPr id="3" name="Picture 2" descr="Illustration of a profile without surface defects (a), with blisters (b), with a skid mark (c) and with scratches (d). The skid mark is the light gray top-to-bottom line on the aluminum profile. The yellow line results from a reflection of the factory’s lighting system">
          <a:extLst>
            <a:ext uri="{FF2B5EF4-FFF2-40B4-BE49-F238E27FC236}">
              <a16:creationId xmlns:a16="http://schemas.microsoft.com/office/drawing/2014/main" id="{8155E926-FE99-4BF7-8327-EFB02F183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8631" y="4911378"/>
          <a:ext cx="3533092" cy="3300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319219</xdr:colOff>
      <xdr:row>67</xdr:row>
      <xdr:rowOff>235529</xdr:rowOff>
    </xdr:from>
    <xdr:to>
      <xdr:col>28</xdr:col>
      <xdr:colOff>242455</xdr:colOff>
      <xdr:row>80</xdr:row>
      <xdr:rowOff>142241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581936A2-E729-45B5-BB84-852FA6EA4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302722</xdr:colOff>
      <xdr:row>67</xdr:row>
      <xdr:rowOff>220634</xdr:rowOff>
    </xdr:from>
    <xdr:to>
      <xdr:col>13</xdr:col>
      <xdr:colOff>105432</xdr:colOff>
      <xdr:row>85</xdr:row>
      <xdr:rowOff>69464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590447-5C21-43EA-A5C4-9144F31F7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bhsu_sram_com/Documents/Documents/Desktop/&#29105;&#37723;&#37569;&#26448;&#26009;&#21152;&#29105;&#35069;&#31243;&#27298;&#26597;&#34920;-&#31354;&#30333;(&#26032;).xlsx" TargetMode="External"/><Relationship Id="rId2" Type="http://schemas.openxmlformats.org/officeDocument/2006/relationships/externalLinkPath" Target="https://sram0-my.sharepoint.com/personal/bhsu_sram_com/Documents/Documents/Desktop/&#29105;&#37723;&#37569;&#26448;&#26009;&#21152;&#29105;&#35069;&#31243;&#27298;&#26597;&#34920;-&#31354;&#30333;(&#26032;).xlsx" TargetMode="External"/><Relationship Id="rId1" Type="http://schemas.openxmlformats.org/officeDocument/2006/relationships/externalLinkPath" Target="/personal/bhsu_sram_com/Documents/Documents/Desktop/&#29105;&#37723;&#37569;&#26448;&#26009;&#21152;&#29105;&#35069;&#31243;&#27298;&#26597;&#34920;-&#31354;&#30333;(&#2603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ank (2)"/>
      <sheetName val="工作表2"/>
      <sheetName val="Blank"/>
      <sheetName val="Sample"/>
    </sheetNames>
    <sheetDataSet>
      <sheetData sheetId="0">
        <row r="38">
          <cell r="F38" t="str">
            <v>材料表面溫度 (°C)</v>
          </cell>
        </row>
        <row r="66">
          <cell r="C66">
            <v>60.5</v>
          </cell>
        </row>
        <row r="67">
          <cell r="C67">
            <v>61</v>
          </cell>
        </row>
        <row r="68">
          <cell r="C68">
            <v>61.5</v>
          </cell>
        </row>
        <row r="69">
          <cell r="C69">
            <v>62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7C85-C252-4598-A492-8A15B972C1EB}">
  <dimension ref="B1:AQ101"/>
  <sheetViews>
    <sheetView tabSelected="1" zoomScaleNormal="100" workbookViewId="0">
      <selection activeCell="E15" sqref="E15"/>
    </sheetView>
  </sheetViews>
  <sheetFormatPr defaultRowHeight="16.5" x14ac:dyDescent="0.25"/>
  <cols>
    <col min="2" max="2" width="28.125" customWidth="1"/>
    <col min="3" max="5" width="25.75" customWidth="1"/>
    <col min="6" max="6" width="41.25" customWidth="1"/>
    <col min="7" max="12" width="20.75" customWidth="1"/>
  </cols>
  <sheetData>
    <row r="1" spans="2:9" x14ac:dyDescent="0.25">
      <c r="B1" s="120" t="s">
        <v>75</v>
      </c>
      <c r="C1" s="121"/>
      <c r="D1" s="121"/>
      <c r="E1" s="121"/>
      <c r="F1" s="122"/>
      <c r="G1" s="1"/>
      <c r="H1" s="1"/>
      <c r="I1" s="1"/>
    </row>
    <row r="2" spans="2:9" x14ac:dyDescent="0.25">
      <c r="B2" s="123"/>
      <c r="C2" s="124"/>
      <c r="D2" s="124"/>
      <c r="E2" s="124"/>
      <c r="F2" s="125"/>
      <c r="G2" s="1"/>
      <c r="H2" s="1"/>
      <c r="I2" s="1"/>
    </row>
    <row r="3" spans="2:9" ht="27" thickBot="1" x14ac:dyDescent="0.3">
      <c r="B3" s="126" t="s">
        <v>94</v>
      </c>
      <c r="C3" s="127"/>
      <c r="D3" s="127"/>
      <c r="E3" s="127"/>
      <c r="F3" s="128"/>
      <c r="G3" s="1"/>
      <c r="H3" s="1"/>
      <c r="I3" s="1"/>
    </row>
    <row r="4" spans="2:9" ht="27.75" thickBot="1" x14ac:dyDescent="0.5">
      <c r="B4" s="84" t="s">
        <v>0</v>
      </c>
      <c r="C4" s="129" t="s">
        <v>1</v>
      </c>
      <c r="D4" s="130"/>
      <c r="E4" s="85" t="s">
        <v>2</v>
      </c>
      <c r="F4" s="86" t="s">
        <v>3</v>
      </c>
      <c r="G4" s="1"/>
      <c r="H4" s="1"/>
      <c r="I4" s="1"/>
    </row>
    <row r="5" spans="2:9" ht="17.25" thickBot="1" x14ac:dyDescent="0.3">
      <c r="B5" s="1"/>
      <c r="C5" s="1"/>
      <c r="D5" s="1"/>
      <c r="E5" s="1"/>
      <c r="F5" s="1"/>
      <c r="G5" s="2"/>
      <c r="H5" s="1"/>
      <c r="I5" s="1"/>
    </row>
    <row r="6" spans="2:9" ht="24" x14ac:dyDescent="0.25">
      <c r="B6" s="70" t="s">
        <v>4</v>
      </c>
      <c r="C6" s="72"/>
      <c r="D6" s="72"/>
      <c r="E6" s="72"/>
      <c r="F6" s="73"/>
      <c r="G6" s="1"/>
      <c r="H6" s="1"/>
      <c r="I6" s="1"/>
    </row>
    <row r="7" spans="2:9" x14ac:dyDescent="0.25">
      <c r="B7" s="74"/>
      <c r="C7" s="3"/>
      <c r="D7" s="3"/>
      <c r="E7" s="3"/>
      <c r="F7" s="4"/>
      <c r="G7" s="1"/>
      <c r="H7" s="1"/>
      <c r="I7" s="1"/>
    </row>
    <row r="8" spans="2:9" x14ac:dyDescent="0.25">
      <c r="B8" s="76" t="s">
        <v>5</v>
      </c>
      <c r="C8" s="38" t="s">
        <v>6</v>
      </c>
      <c r="D8" s="38" t="s">
        <v>7</v>
      </c>
      <c r="E8" s="38" t="s">
        <v>8</v>
      </c>
      <c r="F8" s="39" t="s">
        <v>9</v>
      </c>
      <c r="G8" s="1"/>
      <c r="H8" s="1"/>
      <c r="I8" s="1"/>
    </row>
    <row r="9" spans="2:9" x14ac:dyDescent="0.25">
      <c r="B9" s="131" t="s">
        <v>10</v>
      </c>
      <c r="C9" s="5" t="s">
        <v>95</v>
      </c>
      <c r="D9" s="5"/>
      <c r="E9" s="6"/>
      <c r="F9" s="134" t="s">
        <v>11</v>
      </c>
      <c r="G9" s="1"/>
      <c r="H9" s="1"/>
      <c r="I9" s="1"/>
    </row>
    <row r="10" spans="2:9" x14ac:dyDescent="0.25">
      <c r="B10" s="132"/>
      <c r="C10" s="5" t="s">
        <v>96</v>
      </c>
      <c r="D10" s="5"/>
      <c r="E10" s="6"/>
      <c r="F10" s="135"/>
      <c r="G10" s="1"/>
      <c r="H10" s="1"/>
      <c r="I10" s="1"/>
    </row>
    <row r="11" spans="2:9" x14ac:dyDescent="0.25">
      <c r="B11" s="132"/>
      <c r="C11" s="5" t="s">
        <v>97</v>
      </c>
      <c r="D11" s="5"/>
      <c r="E11" s="6"/>
      <c r="F11" s="135"/>
      <c r="G11" s="1"/>
      <c r="H11" s="1"/>
      <c r="I11" s="1"/>
    </row>
    <row r="12" spans="2:9" x14ac:dyDescent="0.25">
      <c r="B12" s="132"/>
      <c r="C12" s="5" t="s">
        <v>98</v>
      </c>
      <c r="D12" s="5"/>
      <c r="E12" s="6"/>
      <c r="F12" s="135"/>
      <c r="G12" s="1"/>
      <c r="H12" s="1"/>
      <c r="I12" s="1"/>
    </row>
    <row r="13" spans="2:9" x14ac:dyDescent="0.25">
      <c r="B13" s="132"/>
      <c r="C13" s="5" t="s">
        <v>99</v>
      </c>
      <c r="D13" s="5"/>
      <c r="E13" s="6"/>
      <c r="F13" s="135"/>
      <c r="G13" s="1"/>
      <c r="H13" s="1"/>
      <c r="I13" s="1"/>
    </row>
    <row r="14" spans="2:9" x14ac:dyDescent="0.25">
      <c r="B14" s="132"/>
      <c r="C14" s="5" t="s">
        <v>13</v>
      </c>
      <c r="D14" s="5"/>
      <c r="E14" s="6"/>
      <c r="F14" s="135"/>
      <c r="G14" s="1"/>
      <c r="H14" s="1"/>
      <c r="I14" s="1"/>
    </row>
    <row r="15" spans="2:9" x14ac:dyDescent="0.25">
      <c r="B15" s="132"/>
      <c r="C15" s="5" t="s">
        <v>14</v>
      </c>
      <c r="D15" s="5"/>
      <c r="E15" s="6"/>
      <c r="F15" s="136"/>
      <c r="G15" s="1"/>
      <c r="H15" s="1"/>
      <c r="I15" s="1"/>
    </row>
    <row r="16" spans="2:9" x14ac:dyDescent="0.25">
      <c r="B16" s="133"/>
      <c r="C16" s="5" t="s">
        <v>100</v>
      </c>
      <c r="D16" s="5"/>
      <c r="E16" s="6"/>
      <c r="F16" s="41"/>
      <c r="G16" s="1"/>
      <c r="H16" s="1"/>
      <c r="I16" s="1"/>
    </row>
    <row r="17" spans="2:9" x14ac:dyDescent="0.25">
      <c r="B17" s="82" t="s">
        <v>15</v>
      </c>
      <c r="C17" s="8" t="s">
        <v>16</v>
      </c>
      <c r="D17" s="138"/>
      <c r="E17" s="139"/>
      <c r="F17" s="140"/>
      <c r="G17" s="1"/>
      <c r="H17" s="1"/>
      <c r="I17" s="1"/>
    </row>
    <row r="18" spans="2:9" x14ac:dyDescent="0.25">
      <c r="B18" s="82"/>
      <c r="C18" s="9" t="s">
        <v>17</v>
      </c>
      <c r="D18" s="141"/>
      <c r="E18" s="142"/>
      <c r="F18" s="143"/>
      <c r="G18" s="1"/>
      <c r="H18" s="1"/>
      <c r="I18" s="1"/>
    </row>
    <row r="19" spans="2:9" x14ac:dyDescent="0.25">
      <c r="B19" s="82" t="s">
        <v>18</v>
      </c>
      <c r="C19" s="8" t="s">
        <v>19</v>
      </c>
      <c r="D19" s="141"/>
      <c r="E19" s="142"/>
      <c r="F19" s="143"/>
      <c r="G19" s="1"/>
      <c r="H19" s="1"/>
      <c r="I19" s="1"/>
    </row>
    <row r="20" spans="2:9" x14ac:dyDescent="0.25">
      <c r="B20" s="82"/>
      <c r="C20" s="9" t="s">
        <v>20</v>
      </c>
      <c r="D20" s="141"/>
      <c r="E20" s="142"/>
      <c r="F20" s="143"/>
      <c r="G20" s="1"/>
      <c r="H20" s="1"/>
      <c r="I20" s="1"/>
    </row>
    <row r="21" spans="2:9" x14ac:dyDescent="0.25">
      <c r="B21" s="82" t="s">
        <v>21</v>
      </c>
      <c r="C21" s="8" t="s">
        <v>16</v>
      </c>
      <c r="D21" s="141"/>
      <c r="E21" s="142"/>
      <c r="F21" s="143"/>
      <c r="G21" s="1"/>
      <c r="H21" s="1"/>
      <c r="I21" s="1"/>
    </row>
    <row r="22" spans="2:9" x14ac:dyDescent="0.25">
      <c r="B22" s="83"/>
      <c r="C22" s="9" t="s">
        <v>20</v>
      </c>
      <c r="D22" s="141"/>
      <c r="E22" s="142"/>
      <c r="F22" s="143"/>
      <c r="G22" s="1"/>
      <c r="H22" s="1"/>
      <c r="I22" s="1"/>
    </row>
    <row r="23" spans="2:9" x14ac:dyDescent="0.25">
      <c r="B23" s="82" t="s">
        <v>22</v>
      </c>
      <c r="C23" s="8" t="s">
        <v>16</v>
      </c>
      <c r="D23" s="141"/>
      <c r="E23" s="142"/>
      <c r="F23" s="143"/>
      <c r="G23" s="1"/>
      <c r="H23" s="1"/>
      <c r="I23" s="1"/>
    </row>
    <row r="24" spans="2:9" x14ac:dyDescent="0.25">
      <c r="B24" s="83"/>
      <c r="C24" s="9"/>
      <c r="D24" s="144"/>
      <c r="E24" s="145"/>
      <c r="F24" s="146"/>
      <c r="G24" s="1"/>
      <c r="H24" s="1"/>
      <c r="I24" s="1"/>
    </row>
    <row r="25" spans="2:9" ht="17.25" thickBot="1" x14ac:dyDescent="0.3">
      <c r="B25" s="157" t="s">
        <v>89</v>
      </c>
      <c r="C25" s="158"/>
      <c r="D25" s="158"/>
      <c r="E25" s="158"/>
      <c r="F25" s="159"/>
      <c r="G25" s="1"/>
      <c r="H25" s="1"/>
      <c r="I25" s="1"/>
    </row>
    <row r="26" spans="2:9" ht="17.25" thickBot="1" x14ac:dyDescent="0.3">
      <c r="B26" s="1"/>
      <c r="C26" s="1"/>
      <c r="D26" s="1"/>
      <c r="E26" s="1"/>
      <c r="F26" s="1"/>
      <c r="G26" s="1"/>
      <c r="H26" s="1"/>
      <c r="I26" s="1"/>
    </row>
    <row r="27" spans="2:9" ht="24" x14ac:dyDescent="0.25">
      <c r="B27" s="70" t="s">
        <v>23</v>
      </c>
      <c r="C27" s="72"/>
      <c r="D27" s="72"/>
      <c r="E27" s="72"/>
      <c r="F27" s="73"/>
      <c r="G27" s="1"/>
      <c r="H27" s="1"/>
      <c r="I27" s="1"/>
    </row>
    <row r="28" spans="2:9" x14ac:dyDescent="0.25">
      <c r="B28" s="74"/>
      <c r="C28" s="3"/>
      <c r="D28" s="3"/>
      <c r="E28" s="3"/>
      <c r="F28" s="4"/>
      <c r="G28" s="1"/>
      <c r="H28" s="1"/>
      <c r="I28" s="1"/>
    </row>
    <row r="29" spans="2:9" x14ac:dyDescent="0.25">
      <c r="B29" s="76" t="s">
        <v>5</v>
      </c>
      <c r="C29" s="38" t="s">
        <v>6</v>
      </c>
      <c r="D29" s="38" t="s">
        <v>7</v>
      </c>
      <c r="E29" s="38" t="s">
        <v>8</v>
      </c>
      <c r="F29" s="39" t="s">
        <v>9</v>
      </c>
      <c r="G29" s="1"/>
      <c r="H29" s="1"/>
      <c r="I29" s="1"/>
    </row>
    <row r="30" spans="2:9" ht="30" x14ac:dyDescent="0.25">
      <c r="B30" s="82" t="s">
        <v>24</v>
      </c>
      <c r="C30" s="80" t="s">
        <v>25</v>
      </c>
      <c r="D30" s="80" t="s">
        <v>26</v>
      </c>
      <c r="E30" s="6"/>
      <c r="F30" s="117"/>
      <c r="G30" s="1"/>
      <c r="H30" s="1"/>
      <c r="I30" s="1"/>
    </row>
    <row r="31" spans="2:9" ht="45" x14ac:dyDescent="0.25">
      <c r="B31" s="82" t="s">
        <v>27</v>
      </c>
      <c r="C31" s="80" t="s">
        <v>28</v>
      </c>
      <c r="D31" s="80" t="s">
        <v>29</v>
      </c>
      <c r="E31" s="6"/>
      <c r="F31" s="117"/>
      <c r="G31" s="1"/>
      <c r="H31" s="1"/>
      <c r="I31" s="1"/>
    </row>
    <row r="32" spans="2:9" ht="30" x14ac:dyDescent="0.25">
      <c r="B32" s="82" t="s">
        <v>30</v>
      </c>
      <c r="C32" s="80" t="s">
        <v>31</v>
      </c>
      <c r="D32" s="80" t="s">
        <v>32</v>
      </c>
      <c r="E32" s="6"/>
      <c r="F32" s="117"/>
      <c r="G32" s="1"/>
      <c r="H32" s="1"/>
      <c r="I32" s="1"/>
    </row>
    <row r="33" spans="2:43" ht="30" x14ac:dyDescent="0.25">
      <c r="B33" s="82" t="s">
        <v>33</v>
      </c>
      <c r="C33" s="80" t="s">
        <v>34</v>
      </c>
      <c r="D33" s="80" t="s">
        <v>35</v>
      </c>
      <c r="E33" s="6"/>
      <c r="F33" s="117"/>
      <c r="G33" s="1"/>
      <c r="H33" s="1"/>
      <c r="I33" s="1"/>
    </row>
    <row r="34" spans="2:43" ht="17.25" thickBot="1" x14ac:dyDescent="0.3">
      <c r="B34" s="87" t="s">
        <v>36</v>
      </c>
      <c r="C34" s="11"/>
      <c r="D34" s="11"/>
      <c r="E34" s="11"/>
      <c r="F34" s="12"/>
      <c r="G34" s="1"/>
      <c r="H34" s="1"/>
      <c r="I34" s="1"/>
    </row>
    <row r="35" spans="2:43" ht="17.25" thickBot="1" x14ac:dyDescent="0.3"/>
    <row r="36" spans="2:43" ht="24" x14ac:dyDescent="0.25">
      <c r="B36" s="27" t="s">
        <v>37</v>
      </c>
      <c r="C36" s="34"/>
      <c r="D36" s="34"/>
      <c r="E36" s="28"/>
      <c r="F36" s="28"/>
      <c r="G36" s="28"/>
      <c r="H36" s="28"/>
      <c r="I36" s="29"/>
      <c r="J36" s="1"/>
      <c r="K36" s="1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"/>
      <c r="AQ36" s="1"/>
    </row>
    <row r="37" spans="2:43" x14ac:dyDescent="0.25">
      <c r="B37" s="30"/>
      <c r="C37" s="35"/>
      <c r="D37" s="35"/>
      <c r="E37" s="24"/>
      <c r="F37" s="24"/>
      <c r="G37" s="24"/>
      <c r="H37" s="24"/>
      <c r="I37" s="1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2:43" ht="30" x14ac:dyDescent="0.25">
      <c r="B38" s="31" t="s">
        <v>38</v>
      </c>
      <c r="C38" s="36" t="s">
        <v>39</v>
      </c>
      <c r="D38" s="37" t="s">
        <v>40</v>
      </c>
      <c r="E38" s="32" t="s">
        <v>41</v>
      </c>
      <c r="F38" s="32" t="s">
        <v>42</v>
      </c>
      <c r="G38" s="32" t="s">
        <v>43</v>
      </c>
      <c r="H38" s="38" t="s">
        <v>44</v>
      </c>
      <c r="I38" s="33" t="s">
        <v>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2:43" x14ac:dyDescent="0.25">
      <c r="B39" s="160" t="s">
        <v>45</v>
      </c>
      <c r="C39" s="55">
        <f>C58*0</f>
        <v>0</v>
      </c>
      <c r="D39" s="15"/>
      <c r="E39" s="162"/>
      <c r="F39" s="6"/>
      <c r="G39" s="6"/>
      <c r="H39" s="40">
        <f>G39-F39</f>
        <v>0</v>
      </c>
      <c r="I39" s="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2:43" x14ac:dyDescent="0.25">
      <c r="B40" s="161"/>
      <c r="C40" s="118">
        <f>C49*0.1</f>
        <v>5.1000000000000005</v>
      </c>
      <c r="D40" s="15"/>
      <c r="E40" s="163"/>
      <c r="F40" s="6"/>
      <c r="G40" s="6"/>
      <c r="H40" s="40">
        <f t="shared" ref="H40:H63" si="0">G40-F40</f>
        <v>0</v>
      </c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2:43" x14ac:dyDescent="0.25">
      <c r="B41" s="161"/>
      <c r="C41" s="118">
        <f>C49*0.2</f>
        <v>10.200000000000001</v>
      </c>
      <c r="D41" s="15"/>
      <c r="E41" s="163"/>
      <c r="F41" s="6"/>
      <c r="G41" s="6"/>
      <c r="H41" s="40">
        <f t="shared" si="0"/>
        <v>0</v>
      </c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2:43" x14ac:dyDescent="0.25">
      <c r="B42" s="161"/>
      <c r="C42" s="118">
        <f>C49*0.3</f>
        <v>15.299999999999999</v>
      </c>
      <c r="D42" s="15"/>
      <c r="E42" s="163"/>
      <c r="F42" s="6"/>
      <c r="G42" s="6"/>
      <c r="H42" s="40">
        <f t="shared" si="0"/>
        <v>0</v>
      </c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2:43" x14ac:dyDescent="0.25">
      <c r="B43" s="161"/>
      <c r="C43" s="118">
        <f>C49*0.4</f>
        <v>20.400000000000002</v>
      </c>
      <c r="D43" s="15"/>
      <c r="E43" s="163"/>
      <c r="F43" s="6"/>
      <c r="G43" s="6"/>
      <c r="H43" s="40">
        <f t="shared" si="0"/>
        <v>0</v>
      </c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2:43" x14ac:dyDescent="0.25">
      <c r="B44" s="161"/>
      <c r="C44" s="118">
        <f>C49*0.5</f>
        <v>25.5</v>
      </c>
      <c r="D44" s="15"/>
      <c r="E44" s="163"/>
      <c r="F44" s="6"/>
      <c r="G44" s="6"/>
      <c r="H44" s="40">
        <f t="shared" si="0"/>
        <v>0</v>
      </c>
      <c r="I44" s="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2:43" x14ac:dyDescent="0.25">
      <c r="B45" s="161"/>
      <c r="C45" s="119">
        <f>C49*0.6</f>
        <v>30.599999999999998</v>
      </c>
      <c r="D45" s="6"/>
      <c r="E45" s="164"/>
      <c r="F45" s="6"/>
      <c r="G45" s="6"/>
      <c r="H45" s="40">
        <f t="shared" si="0"/>
        <v>0</v>
      </c>
      <c r="I45" s="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2:43" x14ac:dyDescent="0.25">
      <c r="B46" s="161"/>
      <c r="C46" s="119">
        <f>C49*0.7</f>
        <v>35.699999999999996</v>
      </c>
      <c r="D46" s="6"/>
      <c r="E46" s="164"/>
      <c r="F46" s="6"/>
      <c r="G46" s="6"/>
      <c r="H46" s="40">
        <f t="shared" si="0"/>
        <v>0</v>
      </c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2:43" x14ac:dyDescent="0.25">
      <c r="B47" s="161"/>
      <c r="C47" s="119">
        <f>C49*0.8</f>
        <v>40.800000000000004</v>
      </c>
      <c r="D47" s="6"/>
      <c r="E47" s="164"/>
      <c r="F47" s="6"/>
      <c r="G47" s="6"/>
      <c r="H47" s="40">
        <f t="shared" si="0"/>
        <v>0</v>
      </c>
      <c r="I47" s="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2:43" x14ac:dyDescent="0.25">
      <c r="B48" s="161"/>
      <c r="C48" s="119">
        <f>C49*0.9</f>
        <v>45.9</v>
      </c>
      <c r="D48" s="6"/>
      <c r="E48" s="164"/>
      <c r="F48" s="6"/>
      <c r="G48" s="6"/>
      <c r="H48" s="40">
        <f t="shared" si="0"/>
        <v>0</v>
      </c>
      <c r="I48" s="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2:43" x14ac:dyDescent="0.25">
      <c r="B49" s="161"/>
      <c r="C49" s="38">
        <f t="shared" ref="C49:C55" si="1">C50-1</f>
        <v>51</v>
      </c>
      <c r="D49" s="6"/>
      <c r="E49" s="164"/>
      <c r="F49" s="6"/>
      <c r="G49" s="6"/>
      <c r="H49" s="40">
        <f t="shared" si="0"/>
        <v>0</v>
      </c>
      <c r="I49" s="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2:43" x14ac:dyDescent="0.25">
      <c r="B50" s="161"/>
      <c r="C50" s="38">
        <f t="shared" si="1"/>
        <v>52</v>
      </c>
      <c r="D50" s="6"/>
      <c r="E50" s="164"/>
      <c r="F50" s="6"/>
      <c r="G50" s="6"/>
      <c r="H50" s="40">
        <f t="shared" si="0"/>
        <v>0</v>
      </c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2:43" x14ac:dyDescent="0.25">
      <c r="B51" s="161"/>
      <c r="C51" s="38">
        <f t="shared" si="1"/>
        <v>53</v>
      </c>
      <c r="D51" s="6"/>
      <c r="E51" s="164"/>
      <c r="F51" s="6"/>
      <c r="G51" s="6"/>
      <c r="H51" s="40">
        <f t="shared" si="0"/>
        <v>0</v>
      </c>
      <c r="I51" s="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2:43" x14ac:dyDescent="0.25">
      <c r="B52" s="161"/>
      <c r="C52" s="38">
        <f t="shared" si="1"/>
        <v>54</v>
      </c>
      <c r="D52" s="6"/>
      <c r="E52" s="164"/>
      <c r="F52" s="6"/>
      <c r="G52" s="6"/>
      <c r="H52" s="40">
        <f t="shared" si="0"/>
        <v>0</v>
      </c>
      <c r="I52" s="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2:43" x14ac:dyDescent="0.25">
      <c r="B53" s="161"/>
      <c r="C53" s="38">
        <f t="shared" si="1"/>
        <v>55</v>
      </c>
      <c r="D53" s="6"/>
      <c r="E53" s="164"/>
      <c r="F53" s="6"/>
      <c r="G53" s="6"/>
      <c r="H53" s="40">
        <f t="shared" si="0"/>
        <v>0</v>
      </c>
      <c r="I53" s="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2:43" x14ac:dyDescent="0.25">
      <c r="B54" s="161"/>
      <c r="C54" s="38">
        <f t="shared" si="1"/>
        <v>56</v>
      </c>
      <c r="D54" s="6"/>
      <c r="E54" s="164"/>
      <c r="F54" s="6"/>
      <c r="G54" s="6"/>
      <c r="H54" s="40">
        <f t="shared" si="0"/>
        <v>0</v>
      </c>
      <c r="I54" s="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2:43" x14ac:dyDescent="0.25">
      <c r="B55" s="161"/>
      <c r="C55" s="38">
        <f t="shared" si="1"/>
        <v>57</v>
      </c>
      <c r="D55" s="6"/>
      <c r="E55" s="164"/>
      <c r="F55" s="6"/>
      <c r="G55" s="6"/>
      <c r="H55" s="40">
        <f t="shared" si="0"/>
        <v>0</v>
      </c>
      <c r="I55" s="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2:43" x14ac:dyDescent="0.25">
      <c r="B56" s="161"/>
      <c r="C56" s="38">
        <f>C57-1</f>
        <v>58</v>
      </c>
      <c r="D56" s="6"/>
      <c r="E56" s="164"/>
      <c r="F56" s="6"/>
      <c r="G56" s="6"/>
      <c r="H56" s="40">
        <f t="shared" si="0"/>
        <v>0</v>
      </c>
      <c r="I56" s="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2:43" x14ac:dyDescent="0.25">
      <c r="B57" s="161"/>
      <c r="C57" s="38">
        <f>C58-1</f>
        <v>59</v>
      </c>
      <c r="D57" s="6"/>
      <c r="E57" s="164"/>
      <c r="F57" s="6"/>
      <c r="G57" s="6"/>
      <c r="H57" s="40">
        <f t="shared" si="0"/>
        <v>0</v>
      </c>
      <c r="I57" s="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2:43" ht="18.75" x14ac:dyDescent="0.25">
      <c r="B58" s="161"/>
      <c r="C58" s="6">
        <v>60</v>
      </c>
      <c r="D58" s="6"/>
      <c r="E58" s="164"/>
      <c r="F58" s="6"/>
      <c r="G58" s="6"/>
      <c r="H58" s="40">
        <f t="shared" si="0"/>
        <v>0</v>
      </c>
      <c r="I58" s="88" t="s">
        <v>46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2:43" x14ac:dyDescent="0.25">
      <c r="B59" s="92"/>
      <c r="C59" s="53" t="s">
        <v>47</v>
      </c>
      <c r="D59" s="93"/>
      <c r="E59" s="163"/>
      <c r="F59" s="16"/>
      <c r="G59" s="16"/>
      <c r="H59" s="40"/>
      <c r="I59" s="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2:43" x14ac:dyDescent="0.25">
      <c r="B60" s="166" t="s">
        <v>72</v>
      </c>
      <c r="C60" s="53">
        <f>C58+0.5</f>
        <v>60.5</v>
      </c>
      <c r="D60" s="169"/>
      <c r="E60" s="163"/>
      <c r="F60" s="6"/>
      <c r="G60" s="6"/>
      <c r="H60" s="40">
        <f t="shared" si="0"/>
        <v>0</v>
      </c>
      <c r="I60" s="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2:43" x14ac:dyDescent="0.25">
      <c r="B61" s="167"/>
      <c r="C61" s="53">
        <f>C58+1</f>
        <v>61</v>
      </c>
      <c r="D61" s="170"/>
      <c r="E61" s="163"/>
      <c r="F61" s="6"/>
      <c r="G61" s="6"/>
      <c r="H61" s="40">
        <f t="shared" si="0"/>
        <v>0</v>
      </c>
      <c r="I61" s="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2:43" x14ac:dyDescent="0.25">
      <c r="B62" s="167"/>
      <c r="C62" s="53">
        <f>C58+1.5</f>
        <v>61.5</v>
      </c>
      <c r="D62" s="170"/>
      <c r="E62" s="163"/>
      <c r="F62" s="6"/>
      <c r="G62" s="6"/>
      <c r="H62" s="40">
        <f t="shared" si="0"/>
        <v>0</v>
      </c>
      <c r="I62" s="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2:43" x14ac:dyDescent="0.25">
      <c r="B63" s="168"/>
      <c r="C63" s="53">
        <f>C58+2</f>
        <v>62</v>
      </c>
      <c r="D63" s="170"/>
      <c r="E63" s="163"/>
      <c r="F63" s="6"/>
      <c r="G63" s="6"/>
      <c r="H63" s="40">
        <f t="shared" si="0"/>
        <v>0</v>
      </c>
      <c r="I63" s="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2:43" ht="24" x14ac:dyDescent="0.25">
      <c r="B64" s="54"/>
      <c r="C64" s="55"/>
      <c r="D64" s="170"/>
      <c r="E64" s="163"/>
      <c r="F64" s="46"/>
      <c r="G64" s="46"/>
      <c r="H64" s="47"/>
      <c r="I64" s="8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2:43" ht="24" x14ac:dyDescent="0.25">
      <c r="B65" s="56"/>
      <c r="C65" s="57"/>
      <c r="D65" s="171"/>
      <c r="E65" s="165"/>
      <c r="F65" s="46"/>
      <c r="G65" s="172"/>
      <c r="H65" s="172"/>
      <c r="I65" s="48"/>
      <c r="J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2:43" ht="18.75" x14ac:dyDescent="0.25">
      <c r="B66" s="58" t="s">
        <v>48</v>
      </c>
      <c r="C66" s="59"/>
      <c r="D66" s="60"/>
      <c r="E66" s="61"/>
      <c r="F66" s="45"/>
      <c r="G66" s="147"/>
      <c r="H66" s="148"/>
      <c r="I66" s="90"/>
      <c r="J66" s="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2:43" ht="19.5" thickBot="1" x14ac:dyDescent="0.3">
      <c r="B67" s="64" t="s">
        <v>49</v>
      </c>
      <c r="C67" s="65"/>
      <c r="D67" s="65"/>
      <c r="E67" s="66"/>
      <c r="F67" s="91"/>
      <c r="G67" s="149"/>
      <c r="H67" s="149"/>
      <c r="I67" s="90"/>
      <c r="J67" s="1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2:43" ht="24" x14ac:dyDescent="0.25">
      <c r="B68" s="150" t="s">
        <v>50</v>
      </c>
      <c r="C68" s="152" t="s">
        <v>51</v>
      </c>
      <c r="D68" s="152"/>
      <c r="E68" s="153" t="s">
        <v>8</v>
      </c>
      <c r="F68" s="155" t="s">
        <v>9</v>
      </c>
      <c r="G68" s="1"/>
      <c r="H68" s="1"/>
      <c r="I68" s="19"/>
      <c r="J68" s="1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2:43" ht="24" x14ac:dyDescent="0.25">
      <c r="B69" s="151"/>
      <c r="C69" s="94" t="s">
        <v>52</v>
      </c>
      <c r="D69" s="94" t="s">
        <v>53</v>
      </c>
      <c r="E69" s="154"/>
      <c r="F69" s="156"/>
      <c r="G69" s="1"/>
      <c r="H69" s="1"/>
      <c r="I69" s="19"/>
      <c r="J69" s="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2:43" ht="37.5" x14ac:dyDescent="0.25">
      <c r="B70" s="99" t="s">
        <v>54</v>
      </c>
      <c r="C70" s="20"/>
      <c r="D70" s="21"/>
      <c r="E70" s="95" t="str" cm="1">
        <f t="array" ref="E70">IF(AND(F58:G58&gt;C70,F58:G58&lt;D70),"✓", "X")</f>
        <v>X</v>
      </c>
      <c r="F70" s="96" t="s">
        <v>74</v>
      </c>
      <c r="G70" s="1"/>
      <c r="H70" s="1"/>
      <c r="I70" s="22"/>
      <c r="J70" s="1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2:43" ht="37.5" x14ac:dyDescent="0.25">
      <c r="B71" s="99" t="s">
        <v>55</v>
      </c>
      <c r="C71" s="101">
        <v>-5</v>
      </c>
      <c r="D71" s="101">
        <v>5</v>
      </c>
      <c r="E71" s="95" t="str">
        <f>IF(AND(H58&gt;=-5,H58&lt;=5),"✓", "X")</f>
        <v>✓</v>
      </c>
      <c r="F71" s="96" t="s">
        <v>73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2:43" ht="50.25" thickBot="1" x14ac:dyDescent="0.3">
      <c r="B72" s="100" t="s">
        <v>56</v>
      </c>
      <c r="C72" s="137" t="s">
        <v>57</v>
      </c>
      <c r="D72" s="137"/>
      <c r="E72" s="97" t="str">
        <f>IF(AND(E70="✓",E71="✓"),"✓","X")</f>
        <v>X</v>
      </c>
      <c r="F72" s="98" t="s">
        <v>58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2:43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2:43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2:43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2:43" ht="17.25" thickBot="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2:43" ht="24" x14ac:dyDescent="0.25">
      <c r="B77" s="27" t="s">
        <v>59</v>
      </c>
      <c r="C77" s="28"/>
      <c r="D77" s="28"/>
      <c r="E77" s="28"/>
      <c r="F77" s="2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2:43" x14ac:dyDescent="0.25">
      <c r="B78" s="30"/>
      <c r="C78" s="24"/>
      <c r="D78" s="24"/>
      <c r="E78" s="24"/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2:43" x14ac:dyDescent="0.25">
      <c r="B79" s="31" t="s">
        <v>60</v>
      </c>
      <c r="C79" s="32" t="s">
        <v>61</v>
      </c>
      <c r="D79" s="32" t="s">
        <v>62</v>
      </c>
      <c r="E79" s="32" t="s">
        <v>63</v>
      </c>
      <c r="F79" s="33" t="s">
        <v>64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2:43" x14ac:dyDescent="0.25">
      <c r="B80" s="49" t="s">
        <v>65</v>
      </c>
      <c r="C80" s="23"/>
      <c r="D80" s="23"/>
      <c r="E80" s="23"/>
      <c r="F80" s="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2:43" x14ac:dyDescent="0.25">
      <c r="B81" s="49" t="s">
        <v>66</v>
      </c>
      <c r="C81" s="23"/>
      <c r="D81" s="23"/>
      <c r="E81" s="23"/>
      <c r="F81" s="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2:43" x14ac:dyDescent="0.25">
      <c r="B82" s="49" t="s">
        <v>67</v>
      </c>
      <c r="C82" s="23"/>
      <c r="D82" s="23"/>
      <c r="E82" s="23"/>
      <c r="F82" s="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2:43" x14ac:dyDescent="0.25">
      <c r="B83" s="49" t="s">
        <v>68</v>
      </c>
      <c r="C83" s="23"/>
      <c r="D83" s="23"/>
      <c r="E83" s="23"/>
      <c r="F83" s="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2:43" x14ac:dyDescent="0.25">
      <c r="B84" s="30"/>
      <c r="C84" s="24"/>
      <c r="D84" s="24"/>
      <c r="E84" s="24"/>
      <c r="F84" s="1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2:43" x14ac:dyDescent="0.25">
      <c r="B85" s="30" t="s">
        <v>69</v>
      </c>
      <c r="C85" s="3"/>
      <c r="D85" s="3"/>
      <c r="E85" s="3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2:43" x14ac:dyDescent="0.25">
      <c r="B86" s="50" t="s">
        <v>70</v>
      </c>
      <c r="C86" s="25"/>
      <c r="D86" s="3"/>
      <c r="E86" s="3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2:43" ht="17.25" thickBot="1" x14ac:dyDescent="0.3">
      <c r="B87" s="51" t="s">
        <v>71</v>
      </c>
      <c r="C87" s="26"/>
      <c r="D87" s="11"/>
      <c r="E87" s="11"/>
      <c r="F87" s="1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2:43" x14ac:dyDescent="0.25">
      <c r="B88" s="5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2:43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2:43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2:43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2:43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2:43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2:43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2:43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2:43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2:43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2:43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2:43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2:43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2:43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</sheetData>
  <sheetProtection sheet="1" objects="1" scenarios="1" selectLockedCells="1"/>
  <mergeCells count="19">
    <mergeCell ref="C72:D72"/>
    <mergeCell ref="D17:F24"/>
    <mergeCell ref="G66:H66"/>
    <mergeCell ref="G67:H67"/>
    <mergeCell ref="B68:B69"/>
    <mergeCell ref="C68:D68"/>
    <mergeCell ref="E68:E69"/>
    <mergeCell ref="F68:F69"/>
    <mergeCell ref="B25:F25"/>
    <mergeCell ref="B39:B58"/>
    <mergeCell ref="E39:E65"/>
    <mergeCell ref="B60:B63"/>
    <mergeCell ref="D60:D65"/>
    <mergeCell ref="G65:H65"/>
    <mergeCell ref="B1:F2"/>
    <mergeCell ref="B3:F3"/>
    <mergeCell ref="C4:D4"/>
    <mergeCell ref="B9:B16"/>
    <mergeCell ref="F9:F15"/>
  </mergeCells>
  <phoneticPr fontId="22" type="noConversion"/>
  <dataValidations disablePrompts="1" count="1">
    <dataValidation type="custom" allowBlank="1" showInputMessage="1" showErrorMessage="1" sqref="I65 E68" xr:uid="{948B7DB2-D4DF-423E-9C6D-0FD1AF5BBC3F}">
      <formula1>"V"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4BF8-706F-4137-B502-A602B9678992}">
  <dimension ref="B1:AQ101"/>
  <sheetViews>
    <sheetView zoomScale="55" zoomScaleNormal="55" workbookViewId="0">
      <selection activeCell="B88" sqref="B88"/>
    </sheetView>
  </sheetViews>
  <sheetFormatPr defaultRowHeight="16.5" x14ac:dyDescent="0.25"/>
  <cols>
    <col min="2" max="2" width="28.125" customWidth="1"/>
    <col min="3" max="5" width="25.75" customWidth="1"/>
    <col min="6" max="6" width="41.25" customWidth="1"/>
    <col min="7" max="12" width="20.75" customWidth="1"/>
  </cols>
  <sheetData>
    <row r="1" spans="2:9" x14ac:dyDescent="0.25">
      <c r="B1" s="174" t="s">
        <v>75</v>
      </c>
      <c r="C1" s="175"/>
      <c r="D1" s="175"/>
      <c r="E1" s="175"/>
      <c r="F1" s="176"/>
      <c r="G1" s="1"/>
      <c r="H1" s="1"/>
      <c r="I1" s="1"/>
    </row>
    <row r="2" spans="2:9" x14ac:dyDescent="0.25">
      <c r="B2" s="177"/>
      <c r="C2" s="178"/>
      <c r="D2" s="178"/>
      <c r="E2" s="178"/>
      <c r="F2" s="179"/>
      <c r="G2" s="1"/>
      <c r="H2" s="1"/>
      <c r="I2" s="1"/>
    </row>
    <row r="3" spans="2:9" ht="27" thickBot="1" x14ac:dyDescent="0.3">
      <c r="B3" s="180" t="s">
        <v>103</v>
      </c>
      <c r="C3" s="181"/>
      <c r="D3" s="181"/>
      <c r="E3" s="181"/>
      <c r="F3" s="182"/>
      <c r="G3" s="1"/>
      <c r="H3" s="1"/>
      <c r="I3" s="1"/>
    </row>
    <row r="4" spans="2:9" ht="27.75" thickBot="1" x14ac:dyDescent="0.5">
      <c r="B4" s="84" t="s">
        <v>0</v>
      </c>
      <c r="C4" s="129" t="s">
        <v>1</v>
      </c>
      <c r="D4" s="130"/>
      <c r="E4" s="85" t="s">
        <v>2</v>
      </c>
      <c r="F4" s="86" t="s">
        <v>3</v>
      </c>
      <c r="G4" s="1"/>
      <c r="H4" s="1"/>
      <c r="I4" s="1"/>
    </row>
    <row r="5" spans="2:9" ht="17.25" thickBot="1" x14ac:dyDescent="0.3">
      <c r="B5" s="1"/>
      <c r="C5" s="1"/>
      <c r="D5" s="1"/>
      <c r="E5" s="1"/>
      <c r="F5" s="1"/>
      <c r="G5" s="2"/>
      <c r="H5" s="1"/>
      <c r="I5" s="1"/>
    </row>
    <row r="6" spans="2:9" ht="24" x14ac:dyDescent="0.25">
      <c r="B6" s="70" t="s">
        <v>4</v>
      </c>
      <c r="C6" s="72"/>
      <c r="D6" s="72"/>
      <c r="E6" s="72"/>
      <c r="F6" s="73"/>
      <c r="G6" s="1"/>
      <c r="H6" s="1"/>
      <c r="I6" s="1"/>
    </row>
    <row r="7" spans="2:9" x14ac:dyDescent="0.25">
      <c r="B7" s="74"/>
      <c r="C7" s="3"/>
      <c r="D7" s="3"/>
      <c r="E7" s="3"/>
      <c r="F7" s="4"/>
      <c r="G7" s="1"/>
      <c r="H7" s="1"/>
      <c r="I7" s="1"/>
    </row>
    <row r="8" spans="2:9" x14ac:dyDescent="0.25">
      <c r="B8" s="76" t="s">
        <v>5</v>
      </c>
      <c r="C8" s="38" t="s">
        <v>6</v>
      </c>
      <c r="D8" s="38" t="s">
        <v>7</v>
      </c>
      <c r="E8" s="38" t="s">
        <v>8</v>
      </c>
      <c r="F8" s="39" t="s">
        <v>9</v>
      </c>
      <c r="G8" s="1"/>
      <c r="H8" s="1"/>
      <c r="I8" s="1"/>
    </row>
    <row r="9" spans="2:9" x14ac:dyDescent="0.25">
      <c r="B9" s="183" t="s">
        <v>102</v>
      </c>
      <c r="C9" s="102" t="s">
        <v>80</v>
      </c>
      <c r="D9" s="102"/>
      <c r="E9" s="103" t="s">
        <v>76</v>
      </c>
      <c r="F9" s="134" t="s">
        <v>11</v>
      </c>
      <c r="G9" s="1"/>
      <c r="H9" s="1"/>
      <c r="I9" s="1"/>
    </row>
    <row r="10" spans="2:9" x14ac:dyDescent="0.25">
      <c r="B10" s="184"/>
      <c r="C10" s="102" t="s">
        <v>77</v>
      </c>
      <c r="D10" s="102"/>
      <c r="E10" s="103" t="s">
        <v>76</v>
      </c>
      <c r="F10" s="135"/>
      <c r="G10" s="1"/>
      <c r="H10" s="1"/>
      <c r="I10" s="1"/>
    </row>
    <row r="11" spans="2:9" x14ac:dyDescent="0.25">
      <c r="B11" s="184"/>
      <c r="C11" s="102" t="s">
        <v>78</v>
      </c>
      <c r="D11" s="102"/>
      <c r="E11" s="103" t="s">
        <v>76</v>
      </c>
      <c r="F11" s="135"/>
      <c r="G11" s="1"/>
      <c r="H11" s="1"/>
      <c r="I11" s="1"/>
    </row>
    <row r="12" spans="2:9" x14ac:dyDescent="0.25">
      <c r="B12" s="184"/>
      <c r="C12" s="102" t="s">
        <v>79</v>
      </c>
      <c r="D12" s="102"/>
      <c r="E12" s="103" t="s">
        <v>76</v>
      </c>
      <c r="F12" s="135"/>
      <c r="G12" s="1"/>
      <c r="H12" s="1"/>
      <c r="I12" s="1"/>
    </row>
    <row r="13" spans="2:9" x14ac:dyDescent="0.25">
      <c r="B13" s="184"/>
      <c r="C13" s="102" t="s">
        <v>12</v>
      </c>
      <c r="D13" s="102"/>
      <c r="E13" s="103"/>
      <c r="F13" s="135"/>
      <c r="G13" s="1"/>
      <c r="H13" s="1"/>
      <c r="I13" s="1"/>
    </row>
    <row r="14" spans="2:9" x14ac:dyDescent="0.25">
      <c r="B14" s="184"/>
      <c r="C14" s="102" t="s">
        <v>13</v>
      </c>
      <c r="D14" s="102"/>
      <c r="E14" s="103"/>
      <c r="F14" s="135"/>
      <c r="G14" s="1"/>
      <c r="H14" s="1"/>
      <c r="I14" s="1"/>
    </row>
    <row r="15" spans="2:9" x14ac:dyDescent="0.25">
      <c r="B15" s="184"/>
      <c r="C15" s="102" t="s">
        <v>14</v>
      </c>
      <c r="D15" s="102"/>
      <c r="E15" s="103"/>
      <c r="F15" s="136"/>
      <c r="G15" s="1"/>
      <c r="H15" s="1"/>
      <c r="I15" s="1"/>
    </row>
    <row r="16" spans="2:9" x14ac:dyDescent="0.25">
      <c r="B16" s="185"/>
      <c r="C16" s="102" t="s">
        <v>81</v>
      </c>
      <c r="D16" s="102"/>
      <c r="E16" s="103" t="s">
        <v>76</v>
      </c>
      <c r="F16" s="41"/>
      <c r="G16" s="1"/>
      <c r="H16" s="1"/>
      <c r="I16" s="1"/>
    </row>
    <row r="17" spans="2:9" x14ac:dyDescent="0.25">
      <c r="B17" s="82" t="s">
        <v>15</v>
      </c>
      <c r="C17" s="104" t="s">
        <v>86</v>
      </c>
      <c r="D17" s="186"/>
      <c r="E17" s="80"/>
      <c r="F17" s="41"/>
      <c r="G17" s="1"/>
      <c r="H17" s="1"/>
      <c r="I17" s="1"/>
    </row>
    <row r="18" spans="2:9" x14ac:dyDescent="0.25">
      <c r="B18" s="82"/>
      <c r="C18" s="105" t="s">
        <v>82</v>
      </c>
      <c r="D18" s="187"/>
      <c r="E18" s="80"/>
      <c r="F18" s="41"/>
      <c r="G18" s="1"/>
      <c r="H18" s="1"/>
      <c r="I18" s="1"/>
    </row>
    <row r="19" spans="2:9" x14ac:dyDescent="0.25">
      <c r="B19" s="82" t="s">
        <v>18</v>
      </c>
      <c r="C19" s="104" t="s">
        <v>87</v>
      </c>
      <c r="D19" s="187"/>
      <c r="E19" s="80"/>
      <c r="F19" s="41"/>
      <c r="G19" s="1"/>
      <c r="H19" s="1"/>
      <c r="I19" s="1"/>
    </row>
    <row r="20" spans="2:9" x14ac:dyDescent="0.25">
      <c r="B20" s="82"/>
      <c r="C20" s="105" t="s">
        <v>83</v>
      </c>
      <c r="D20" s="187"/>
      <c r="E20" s="80"/>
      <c r="F20" s="41"/>
      <c r="G20" s="1"/>
      <c r="H20" s="1"/>
      <c r="I20" s="1"/>
    </row>
    <row r="21" spans="2:9" x14ac:dyDescent="0.25">
      <c r="B21" s="82" t="s">
        <v>21</v>
      </c>
      <c r="C21" s="104" t="s">
        <v>84</v>
      </c>
      <c r="D21" s="187"/>
      <c r="E21" s="3"/>
      <c r="F21" s="4"/>
      <c r="G21" s="1"/>
      <c r="H21" s="1"/>
      <c r="I21" s="1"/>
    </row>
    <row r="22" spans="2:9" x14ac:dyDescent="0.25">
      <c r="B22" s="83"/>
      <c r="C22" s="105" t="s">
        <v>85</v>
      </c>
      <c r="D22" s="187"/>
      <c r="E22" s="81"/>
      <c r="F22" s="79"/>
      <c r="G22" s="1"/>
      <c r="H22" s="1"/>
      <c r="I22" s="1"/>
    </row>
    <row r="23" spans="2:9" x14ac:dyDescent="0.25">
      <c r="B23" s="82" t="s">
        <v>22</v>
      </c>
      <c r="C23" s="104" t="s">
        <v>88</v>
      </c>
      <c r="D23" s="187"/>
      <c r="E23" s="81"/>
      <c r="F23" s="79"/>
      <c r="G23" s="1"/>
      <c r="H23" s="1"/>
      <c r="I23" s="1"/>
    </row>
    <row r="24" spans="2:9" x14ac:dyDescent="0.25">
      <c r="B24" s="83"/>
      <c r="C24" s="105"/>
      <c r="D24" s="188"/>
      <c r="E24" s="81"/>
      <c r="F24" s="79"/>
      <c r="G24" s="1"/>
      <c r="H24" s="1"/>
      <c r="I24" s="1"/>
    </row>
    <row r="25" spans="2:9" ht="17.25" thickBot="1" x14ac:dyDescent="0.3">
      <c r="B25" s="157" t="s">
        <v>89</v>
      </c>
      <c r="C25" s="158"/>
      <c r="D25" s="158"/>
      <c r="E25" s="158"/>
      <c r="F25" s="159"/>
      <c r="G25" s="1"/>
      <c r="H25" s="1"/>
      <c r="I25" s="1"/>
    </row>
    <row r="26" spans="2:9" ht="17.25" thickBot="1" x14ac:dyDescent="0.3">
      <c r="B26" s="1"/>
      <c r="C26" s="1"/>
      <c r="D26" s="1"/>
      <c r="E26" s="1"/>
      <c r="F26" s="1"/>
      <c r="G26" s="1"/>
      <c r="H26" s="1"/>
      <c r="I26" s="1"/>
    </row>
    <row r="27" spans="2:9" ht="24" x14ac:dyDescent="0.25">
      <c r="B27" s="70" t="s">
        <v>23</v>
      </c>
      <c r="C27" s="72"/>
      <c r="D27" s="72"/>
      <c r="E27" s="72"/>
      <c r="F27" s="73"/>
      <c r="G27" s="1"/>
      <c r="H27" s="1"/>
      <c r="I27" s="1"/>
    </row>
    <row r="28" spans="2:9" x14ac:dyDescent="0.25">
      <c r="B28" s="74"/>
      <c r="C28" s="3"/>
      <c r="D28" s="3"/>
      <c r="E28" s="3"/>
      <c r="F28" s="4"/>
      <c r="G28" s="1"/>
      <c r="H28" s="1"/>
      <c r="I28" s="1"/>
    </row>
    <row r="29" spans="2:9" x14ac:dyDescent="0.25">
      <c r="B29" s="76" t="s">
        <v>5</v>
      </c>
      <c r="C29" s="38" t="s">
        <v>6</v>
      </c>
      <c r="D29" s="38" t="s">
        <v>7</v>
      </c>
      <c r="E29" s="38" t="s">
        <v>8</v>
      </c>
      <c r="F29" s="39" t="s">
        <v>9</v>
      </c>
      <c r="G29" s="1"/>
      <c r="H29" s="1"/>
      <c r="I29" s="1"/>
    </row>
    <row r="30" spans="2:9" ht="30" x14ac:dyDescent="0.25">
      <c r="B30" s="82" t="s">
        <v>24</v>
      </c>
      <c r="C30" s="80" t="s">
        <v>25</v>
      </c>
      <c r="D30" s="80" t="s">
        <v>26</v>
      </c>
      <c r="E30" s="103" t="s">
        <v>76</v>
      </c>
      <c r="F30" s="41" t="s">
        <v>90</v>
      </c>
      <c r="G30" s="1"/>
      <c r="H30" s="1"/>
      <c r="I30" s="1"/>
    </row>
    <row r="31" spans="2:9" ht="45" x14ac:dyDescent="0.25">
      <c r="B31" s="82" t="s">
        <v>27</v>
      </c>
      <c r="C31" s="80" t="s">
        <v>28</v>
      </c>
      <c r="D31" s="80" t="s">
        <v>29</v>
      </c>
      <c r="E31" s="103" t="s">
        <v>76</v>
      </c>
      <c r="F31" s="41" t="s">
        <v>90</v>
      </c>
      <c r="G31" s="1"/>
      <c r="H31" s="1"/>
      <c r="I31" s="1"/>
    </row>
    <row r="32" spans="2:9" ht="30" x14ac:dyDescent="0.25">
      <c r="B32" s="82" t="s">
        <v>30</v>
      </c>
      <c r="C32" s="80" t="s">
        <v>31</v>
      </c>
      <c r="D32" s="80" t="s">
        <v>32</v>
      </c>
      <c r="E32" s="103" t="s">
        <v>76</v>
      </c>
      <c r="F32" s="41" t="s">
        <v>91</v>
      </c>
      <c r="G32" s="1"/>
      <c r="H32" s="1"/>
      <c r="I32" s="1"/>
    </row>
    <row r="33" spans="2:43" ht="30" x14ac:dyDescent="0.25">
      <c r="B33" s="82" t="s">
        <v>33</v>
      </c>
      <c r="C33" s="80" t="s">
        <v>34</v>
      </c>
      <c r="D33" s="80" t="s">
        <v>35</v>
      </c>
      <c r="E33" s="103" t="s">
        <v>76</v>
      </c>
      <c r="F33" s="41" t="s">
        <v>92</v>
      </c>
      <c r="G33" s="1"/>
      <c r="H33" s="1"/>
      <c r="I33" s="1"/>
    </row>
    <row r="34" spans="2:43" ht="17.25" thickBot="1" x14ac:dyDescent="0.3">
      <c r="B34" s="87" t="s">
        <v>36</v>
      </c>
      <c r="C34" s="11"/>
      <c r="D34" s="11"/>
      <c r="E34" s="11"/>
      <c r="F34" s="12"/>
      <c r="G34" s="1"/>
      <c r="H34" s="1"/>
      <c r="I34" s="1"/>
    </row>
    <row r="35" spans="2:43" ht="17.25" thickBot="1" x14ac:dyDescent="0.3"/>
    <row r="36" spans="2:43" ht="24" x14ac:dyDescent="0.25">
      <c r="B36" s="70" t="s">
        <v>37</v>
      </c>
      <c r="C36" s="71"/>
      <c r="D36" s="71"/>
      <c r="E36" s="72"/>
      <c r="F36" s="72"/>
      <c r="G36" s="72"/>
      <c r="H36" s="72"/>
      <c r="I36" s="73"/>
      <c r="J36" s="1"/>
      <c r="K36" s="1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"/>
      <c r="AQ36" s="1"/>
    </row>
    <row r="37" spans="2:43" x14ac:dyDescent="0.25">
      <c r="B37" s="74"/>
      <c r="C37" s="75"/>
      <c r="D37" s="75"/>
      <c r="E37" s="3"/>
      <c r="F37" s="3"/>
      <c r="G37" s="3"/>
      <c r="H37" s="3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2:43" ht="30" x14ac:dyDescent="0.25">
      <c r="B38" s="76" t="s">
        <v>38</v>
      </c>
      <c r="C38" s="77" t="s">
        <v>39</v>
      </c>
      <c r="D38" s="78" t="s">
        <v>40</v>
      </c>
      <c r="E38" s="38" t="s">
        <v>41</v>
      </c>
      <c r="F38" s="38" t="s">
        <v>42</v>
      </c>
      <c r="G38" s="38" t="s">
        <v>43</v>
      </c>
      <c r="H38" s="38" t="s">
        <v>44</v>
      </c>
      <c r="I38" s="39" t="s">
        <v>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2:43" x14ac:dyDescent="0.25">
      <c r="B39" s="189" t="s">
        <v>101</v>
      </c>
      <c r="C39" s="106">
        <f>C58*0</f>
        <v>0</v>
      </c>
      <c r="D39" s="107">
        <v>1</v>
      </c>
      <c r="E39" s="191" t="s">
        <v>93</v>
      </c>
      <c r="F39" s="103">
        <v>18.8</v>
      </c>
      <c r="G39" s="103">
        <v>18.8</v>
      </c>
      <c r="H39" s="40">
        <f>G39-F39</f>
        <v>0</v>
      </c>
      <c r="I39" s="4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2:43" x14ac:dyDescent="0.25">
      <c r="B40" s="190"/>
      <c r="C40" s="108">
        <f>C49*0.1</f>
        <v>5.1000000000000005</v>
      </c>
      <c r="D40" s="107">
        <v>1</v>
      </c>
      <c r="E40" s="192"/>
      <c r="F40" s="103">
        <v>348.4</v>
      </c>
      <c r="G40" s="103">
        <v>284.5</v>
      </c>
      <c r="H40" s="40">
        <f t="shared" ref="H40:H63" si="0">G40-F40</f>
        <v>-63.899999999999977</v>
      </c>
      <c r="I40" s="4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2:43" x14ac:dyDescent="0.25">
      <c r="B41" s="190"/>
      <c r="C41" s="108">
        <f>C49*0.2</f>
        <v>10.200000000000001</v>
      </c>
      <c r="D41" s="107">
        <v>1</v>
      </c>
      <c r="E41" s="192"/>
      <c r="F41" s="103">
        <v>431.9</v>
      </c>
      <c r="G41" s="103">
        <v>418.1</v>
      </c>
      <c r="H41" s="40">
        <f t="shared" si="0"/>
        <v>-13.799999999999955</v>
      </c>
      <c r="I41" s="4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2:43" x14ac:dyDescent="0.25">
      <c r="B42" s="190"/>
      <c r="C42" s="108">
        <f>C49*0.3</f>
        <v>15.299999999999999</v>
      </c>
      <c r="D42" s="107">
        <v>2</v>
      </c>
      <c r="E42" s="192"/>
      <c r="F42" s="103">
        <v>450.5</v>
      </c>
      <c r="G42" s="103">
        <v>433</v>
      </c>
      <c r="H42" s="40">
        <f t="shared" si="0"/>
        <v>-17.5</v>
      </c>
      <c r="I42" s="4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2:43" x14ac:dyDescent="0.25">
      <c r="B43" s="190"/>
      <c r="C43" s="108">
        <f>C49*0.4</f>
        <v>20.400000000000002</v>
      </c>
      <c r="D43" s="107">
        <v>2</v>
      </c>
      <c r="E43" s="192"/>
      <c r="F43" s="103">
        <v>448.5</v>
      </c>
      <c r="G43" s="103">
        <v>437.3</v>
      </c>
      <c r="H43" s="40">
        <f t="shared" si="0"/>
        <v>-11.199999999999989</v>
      </c>
      <c r="I43" s="4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2:43" x14ac:dyDescent="0.25">
      <c r="B44" s="190"/>
      <c r="C44" s="108">
        <f>C49*0.5</f>
        <v>25.5</v>
      </c>
      <c r="D44" s="107">
        <v>2</v>
      </c>
      <c r="E44" s="192"/>
      <c r="F44" s="103">
        <v>447.6</v>
      </c>
      <c r="G44" s="103">
        <v>440.5</v>
      </c>
      <c r="H44" s="40">
        <f t="shared" si="0"/>
        <v>-7.1000000000000227</v>
      </c>
      <c r="I44" s="4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2:43" x14ac:dyDescent="0.25">
      <c r="B45" s="190"/>
      <c r="C45" s="109">
        <f>C49*0.6</f>
        <v>30.599999999999998</v>
      </c>
      <c r="D45" s="103">
        <v>3</v>
      </c>
      <c r="E45" s="193"/>
      <c r="F45" s="103">
        <v>453.4</v>
      </c>
      <c r="G45" s="103">
        <v>442.2</v>
      </c>
      <c r="H45" s="40">
        <f t="shared" si="0"/>
        <v>-11.199999999999989</v>
      </c>
      <c r="I45" s="4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2:43" x14ac:dyDescent="0.25">
      <c r="B46" s="190"/>
      <c r="C46" s="109">
        <f>C49*0.7</f>
        <v>35.699999999999996</v>
      </c>
      <c r="D46" s="103">
        <v>3</v>
      </c>
      <c r="E46" s="193"/>
      <c r="F46" s="103">
        <v>448.3</v>
      </c>
      <c r="G46" s="103">
        <v>443.6</v>
      </c>
      <c r="H46" s="40">
        <f t="shared" si="0"/>
        <v>-4.6999999999999886</v>
      </c>
      <c r="I46" s="4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2:43" x14ac:dyDescent="0.25">
      <c r="B47" s="190"/>
      <c r="C47" s="109">
        <f>C49*0.8</f>
        <v>40.800000000000004</v>
      </c>
      <c r="D47" s="103">
        <v>3</v>
      </c>
      <c r="E47" s="193"/>
      <c r="F47" s="103">
        <v>450.6</v>
      </c>
      <c r="G47" s="103">
        <v>444.9</v>
      </c>
      <c r="H47" s="40">
        <f t="shared" si="0"/>
        <v>-5.7000000000000455</v>
      </c>
      <c r="I47" s="4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2:43" x14ac:dyDescent="0.25">
      <c r="B48" s="190"/>
      <c r="C48" s="109">
        <f>C49*0.9</f>
        <v>45.9</v>
      </c>
      <c r="D48" s="103">
        <v>4</v>
      </c>
      <c r="E48" s="193"/>
      <c r="F48" s="103">
        <v>449.5</v>
      </c>
      <c r="G48" s="103">
        <v>446.5</v>
      </c>
      <c r="H48" s="40">
        <f t="shared" si="0"/>
        <v>-3</v>
      </c>
      <c r="I48" s="4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2:43" x14ac:dyDescent="0.25">
      <c r="B49" s="190"/>
      <c r="C49" s="110">
        <f t="shared" ref="C49:C55" si="1">C50-1</f>
        <v>51</v>
      </c>
      <c r="D49" s="103">
        <v>4</v>
      </c>
      <c r="E49" s="193"/>
      <c r="F49" s="103">
        <v>450.1</v>
      </c>
      <c r="G49" s="103">
        <v>445.3</v>
      </c>
      <c r="H49" s="40">
        <f t="shared" si="0"/>
        <v>-4.8000000000000114</v>
      </c>
      <c r="I49" s="4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2:43" x14ac:dyDescent="0.25">
      <c r="B50" s="190"/>
      <c r="C50" s="110">
        <f t="shared" si="1"/>
        <v>52</v>
      </c>
      <c r="D50" s="103">
        <v>4</v>
      </c>
      <c r="E50" s="193"/>
      <c r="F50" s="103">
        <v>449.5</v>
      </c>
      <c r="G50" s="103">
        <v>447.2</v>
      </c>
      <c r="H50" s="40">
        <f t="shared" si="0"/>
        <v>-2.3000000000000114</v>
      </c>
      <c r="I50" s="4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2:43" x14ac:dyDescent="0.25">
      <c r="B51" s="190"/>
      <c r="C51" s="110">
        <f t="shared" si="1"/>
        <v>53</v>
      </c>
      <c r="D51" s="103">
        <v>4</v>
      </c>
      <c r="E51" s="193"/>
      <c r="F51" s="103">
        <v>450.6</v>
      </c>
      <c r="G51" s="103">
        <v>447.4</v>
      </c>
      <c r="H51" s="40">
        <f t="shared" si="0"/>
        <v>-3.2000000000000455</v>
      </c>
      <c r="I51" s="4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2:43" x14ac:dyDescent="0.25">
      <c r="B52" s="190"/>
      <c r="C52" s="110">
        <f t="shared" si="1"/>
        <v>54</v>
      </c>
      <c r="D52" s="103">
        <v>4</v>
      </c>
      <c r="E52" s="193"/>
      <c r="F52" s="103">
        <v>451.2</v>
      </c>
      <c r="G52" s="103">
        <v>448.3</v>
      </c>
      <c r="H52" s="40">
        <f t="shared" si="0"/>
        <v>-2.8999999999999773</v>
      </c>
      <c r="I52" s="4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2:43" x14ac:dyDescent="0.25">
      <c r="B53" s="190"/>
      <c r="C53" s="110">
        <f t="shared" si="1"/>
        <v>55</v>
      </c>
      <c r="D53" s="103">
        <v>4</v>
      </c>
      <c r="E53" s="193"/>
      <c r="F53" s="103">
        <v>451.9</v>
      </c>
      <c r="G53" s="103">
        <v>449.6</v>
      </c>
      <c r="H53" s="40">
        <f t="shared" si="0"/>
        <v>-2.2999999999999545</v>
      </c>
      <c r="I53" s="4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2:43" x14ac:dyDescent="0.25">
      <c r="B54" s="190"/>
      <c r="C54" s="110">
        <f t="shared" si="1"/>
        <v>56</v>
      </c>
      <c r="D54" s="103">
        <v>4</v>
      </c>
      <c r="E54" s="193"/>
      <c r="F54" s="103">
        <v>450.1</v>
      </c>
      <c r="G54" s="103">
        <v>450.5</v>
      </c>
      <c r="H54" s="40">
        <f t="shared" si="0"/>
        <v>0.39999999999997726</v>
      </c>
      <c r="I54" s="4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2:43" x14ac:dyDescent="0.25">
      <c r="B55" s="190"/>
      <c r="C55" s="110">
        <f t="shared" si="1"/>
        <v>57</v>
      </c>
      <c r="D55" s="103">
        <v>4</v>
      </c>
      <c r="E55" s="193"/>
      <c r="F55" s="103">
        <v>451.9</v>
      </c>
      <c r="G55" s="103">
        <v>450.8</v>
      </c>
      <c r="H55" s="40">
        <f t="shared" si="0"/>
        <v>-1.0999999999999659</v>
      </c>
      <c r="I55" s="4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2:43" x14ac:dyDescent="0.25">
      <c r="B56" s="190"/>
      <c r="C56" s="110">
        <f>C57-1</f>
        <v>58</v>
      </c>
      <c r="D56" s="103">
        <v>4</v>
      </c>
      <c r="E56" s="193"/>
      <c r="F56" s="103">
        <v>451.3</v>
      </c>
      <c r="G56" s="103">
        <v>451.1</v>
      </c>
      <c r="H56" s="40">
        <f t="shared" si="0"/>
        <v>-0.19999999999998863</v>
      </c>
      <c r="I56" s="4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2:43" x14ac:dyDescent="0.25">
      <c r="B57" s="190"/>
      <c r="C57" s="110">
        <f>C58-1</f>
        <v>59</v>
      </c>
      <c r="D57" s="103">
        <v>4</v>
      </c>
      <c r="E57" s="193"/>
      <c r="F57" s="103">
        <v>450.5</v>
      </c>
      <c r="G57" s="103">
        <v>450.4</v>
      </c>
      <c r="H57" s="40">
        <f t="shared" si="0"/>
        <v>-0.10000000000002274</v>
      </c>
      <c r="I57" s="4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2:43" ht="18.75" x14ac:dyDescent="0.25">
      <c r="B58" s="190"/>
      <c r="C58" s="103">
        <v>60</v>
      </c>
      <c r="D58" s="103">
        <v>4</v>
      </c>
      <c r="E58" s="193"/>
      <c r="F58" s="103">
        <v>450.1</v>
      </c>
      <c r="G58" s="103">
        <v>455</v>
      </c>
      <c r="H58" s="40">
        <f t="shared" si="0"/>
        <v>4.8999999999999773</v>
      </c>
      <c r="I58" s="42" t="s">
        <v>46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2:43" x14ac:dyDescent="0.25">
      <c r="B59" s="92"/>
      <c r="C59" s="53" t="s">
        <v>47</v>
      </c>
      <c r="D59" s="93"/>
      <c r="E59" s="192"/>
      <c r="F59" s="111"/>
      <c r="G59" s="111"/>
      <c r="H59" s="40"/>
      <c r="I59" s="4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2:43" x14ac:dyDescent="0.25">
      <c r="B60" s="166" t="s">
        <v>72</v>
      </c>
      <c r="C60" s="53">
        <f>C58+0.5</f>
        <v>60.5</v>
      </c>
      <c r="D60" s="169"/>
      <c r="E60" s="192"/>
      <c r="F60" s="103">
        <v>416</v>
      </c>
      <c r="G60" s="103">
        <v>439.8</v>
      </c>
      <c r="H60" s="40">
        <f t="shared" si="0"/>
        <v>23.800000000000011</v>
      </c>
      <c r="I60" s="4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2:43" x14ac:dyDescent="0.25">
      <c r="B61" s="167"/>
      <c r="C61" s="53">
        <f>C58+1</f>
        <v>61</v>
      </c>
      <c r="D61" s="170"/>
      <c r="E61" s="192"/>
      <c r="F61" s="103">
        <v>411</v>
      </c>
      <c r="G61" s="103">
        <v>432.3</v>
      </c>
      <c r="H61" s="40">
        <f t="shared" si="0"/>
        <v>21.300000000000011</v>
      </c>
      <c r="I61" s="4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2:43" x14ac:dyDescent="0.25">
      <c r="B62" s="167"/>
      <c r="C62" s="53">
        <f>C58+1.5</f>
        <v>61.5</v>
      </c>
      <c r="D62" s="170"/>
      <c r="E62" s="192"/>
      <c r="F62" s="103">
        <v>400</v>
      </c>
      <c r="G62" s="103">
        <v>426</v>
      </c>
      <c r="H62" s="40">
        <f t="shared" si="0"/>
        <v>26</v>
      </c>
      <c r="I62" s="4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2:43" x14ac:dyDescent="0.25">
      <c r="B63" s="168"/>
      <c r="C63" s="53">
        <f>C58+2</f>
        <v>62</v>
      </c>
      <c r="D63" s="170"/>
      <c r="E63" s="192"/>
      <c r="F63" s="103">
        <v>380</v>
      </c>
      <c r="G63" s="103">
        <v>425</v>
      </c>
      <c r="H63" s="40">
        <f t="shared" si="0"/>
        <v>45</v>
      </c>
      <c r="I63" s="4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2:43" ht="24" x14ac:dyDescent="0.25">
      <c r="B64" s="54"/>
      <c r="C64" s="55"/>
      <c r="D64" s="170"/>
      <c r="E64" s="192"/>
      <c r="F64" s="68"/>
      <c r="G64" s="68"/>
      <c r="H64" s="43"/>
      <c r="I64" s="4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2:43" ht="24" x14ac:dyDescent="0.25">
      <c r="B65" s="56"/>
      <c r="C65" s="57"/>
      <c r="D65" s="171"/>
      <c r="E65" s="194"/>
      <c r="F65" s="68"/>
      <c r="G65" s="173"/>
      <c r="H65" s="173"/>
      <c r="I65" s="69"/>
      <c r="J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2:43" ht="18.75" x14ac:dyDescent="0.25">
      <c r="B66" s="58" t="s">
        <v>48</v>
      </c>
      <c r="C66" s="59"/>
      <c r="D66" s="60"/>
      <c r="E66" s="61"/>
      <c r="F66" s="62"/>
      <c r="G66" s="195"/>
      <c r="H66" s="196"/>
      <c r="I66" s="63"/>
      <c r="J66" s="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2:43" ht="19.5" thickBot="1" x14ac:dyDescent="0.3">
      <c r="B67" s="64" t="s">
        <v>49</v>
      </c>
      <c r="C67" s="65"/>
      <c r="D67" s="65"/>
      <c r="E67" s="66"/>
      <c r="F67" s="67"/>
      <c r="G67" s="197"/>
      <c r="H67" s="197"/>
      <c r="I67" s="63"/>
      <c r="J67" s="1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2:43" ht="24" x14ac:dyDescent="0.25">
      <c r="B68" s="150" t="s">
        <v>50</v>
      </c>
      <c r="C68" s="152" t="s">
        <v>51</v>
      </c>
      <c r="D68" s="152"/>
      <c r="E68" s="153" t="s">
        <v>8</v>
      </c>
      <c r="F68" s="155" t="s">
        <v>9</v>
      </c>
      <c r="G68" s="1"/>
      <c r="H68" s="1"/>
      <c r="I68" s="19"/>
      <c r="J68" s="1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2:43" ht="24" x14ac:dyDescent="0.25">
      <c r="B69" s="151"/>
      <c r="C69" s="94" t="s">
        <v>52</v>
      </c>
      <c r="D69" s="94" t="s">
        <v>53</v>
      </c>
      <c r="E69" s="154"/>
      <c r="F69" s="156"/>
      <c r="G69" s="1"/>
      <c r="H69" s="1"/>
      <c r="I69" s="19"/>
      <c r="J69" s="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2:43" ht="37.5" x14ac:dyDescent="0.25">
      <c r="B70" s="99" t="s">
        <v>54</v>
      </c>
      <c r="C70" s="112">
        <v>380</v>
      </c>
      <c r="D70" s="113">
        <v>460</v>
      </c>
      <c r="E70" s="95" t="str" cm="1">
        <f t="array" ref="E70">IF(AND(F58:G58&gt;C70,F58:G58&lt;D70),"✓", "X")</f>
        <v>✓</v>
      </c>
      <c r="F70" s="96" t="s">
        <v>74</v>
      </c>
      <c r="G70" s="1"/>
      <c r="H70" s="1"/>
      <c r="I70" s="22"/>
      <c r="J70" s="1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2:43" ht="37.5" x14ac:dyDescent="0.25">
      <c r="B71" s="99" t="s">
        <v>55</v>
      </c>
      <c r="C71" s="101">
        <v>-5</v>
      </c>
      <c r="D71" s="101">
        <v>5</v>
      </c>
      <c r="E71" s="95" t="str">
        <f>IF(AND(H58&gt;=-5,H58&lt;=5),"✓", "X")</f>
        <v>✓</v>
      </c>
      <c r="F71" s="96" t="s">
        <v>73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2:43" ht="50.25" thickBot="1" x14ac:dyDescent="0.3">
      <c r="B72" s="100" t="s">
        <v>56</v>
      </c>
      <c r="C72" s="137" t="s">
        <v>57</v>
      </c>
      <c r="D72" s="137"/>
      <c r="E72" s="97" t="str">
        <f>IF(AND(E70="✓",E71="✓"),"✓","X")</f>
        <v>✓</v>
      </c>
      <c r="F72" s="98" t="s">
        <v>58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2:43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2:43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2:43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2:43" ht="17.25" thickBot="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2:43" ht="24" x14ac:dyDescent="0.25">
      <c r="B77" s="70" t="s">
        <v>59</v>
      </c>
      <c r="C77" s="72"/>
      <c r="D77" s="72"/>
      <c r="E77" s="72"/>
      <c r="F77" s="7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2:43" x14ac:dyDescent="0.25">
      <c r="B78" s="74"/>
      <c r="C78" s="3"/>
      <c r="D78" s="3"/>
      <c r="E78" s="3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2:43" x14ac:dyDescent="0.25">
      <c r="B79" s="76" t="s">
        <v>60</v>
      </c>
      <c r="C79" s="38" t="s">
        <v>61</v>
      </c>
      <c r="D79" s="38" t="s">
        <v>62</v>
      </c>
      <c r="E79" s="38" t="s">
        <v>63</v>
      </c>
      <c r="F79" s="39" t="s">
        <v>64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2:43" x14ac:dyDescent="0.25">
      <c r="B80" s="114" t="s">
        <v>65</v>
      </c>
      <c r="C80" s="80"/>
      <c r="D80" s="80"/>
      <c r="E80" s="80"/>
      <c r="F80" s="4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2:43" x14ac:dyDescent="0.25">
      <c r="B81" s="114" t="s">
        <v>66</v>
      </c>
      <c r="C81" s="80"/>
      <c r="D81" s="80"/>
      <c r="E81" s="80"/>
      <c r="F81" s="4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2:43" x14ac:dyDescent="0.25">
      <c r="B82" s="114" t="s">
        <v>67</v>
      </c>
      <c r="C82" s="80"/>
      <c r="D82" s="80"/>
      <c r="E82" s="80"/>
      <c r="F82" s="4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2:43" x14ac:dyDescent="0.25">
      <c r="B83" s="114" t="s">
        <v>68</v>
      </c>
      <c r="C83" s="80"/>
      <c r="D83" s="80"/>
      <c r="E83" s="80"/>
      <c r="F83" s="4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2:43" x14ac:dyDescent="0.25">
      <c r="B84" s="74"/>
      <c r="C84" s="3"/>
      <c r="D84" s="3"/>
      <c r="E84" s="3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2:43" x14ac:dyDescent="0.25">
      <c r="B85" s="74" t="s">
        <v>69</v>
      </c>
      <c r="C85" s="3"/>
      <c r="D85" s="3"/>
      <c r="E85" s="3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2:43" x14ac:dyDescent="0.25">
      <c r="B86" s="115" t="s">
        <v>70</v>
      </c>
      <c r="C86" s="25"/>
      <c r="D86" s="3"/>
      <c r="E86" s="3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2:43" ht="17.25" thickBot="1" x14ac:dyDescent="0.3">
      <c r="B87" s="116" t="s">
        <v>71</v>
      </c>
      <c r="C87" s="26"/>
      <c r="D87" s="11"/>
      <c r="E87" s="11"/>
      <c r="F87" s="1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2:43" x14ac:dyDescent="0.25">
      <c r="B88" s="5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2:43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2:43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2:43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2:43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2:43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2:43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2:43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2:43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2:43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2:43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2:43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2:43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2:43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</sheetData>
  <sheetProtection sheet="1" objects="1" scenarios="1" selectLockedCells="1"/>
  <mergeCells count="19">
    <mergeCell ref="C72:D72"/>
    <mergeCell ref="G66:H66"/>
    <mergeCell ref="G67:H67"/>
    <mergeCell ref="B68:B69"/>
    <mergeCell ref="C68:D68"/>
    <mergeCell ref="E68:E69"/>
    <mergeCell ref="F68:F69"/>
    <mergeCell ref="G65:H65"/>
    <mergeCell ref="B1:F2"/>
    <mergeCell ref="B3:F3"/>
    <mergeCell ref="C4:D4"/>
    <mergeCell ref="B9:B16"/>
    <mergeCell ref="F9:F15"/>
    <mergeCell ref="D17:D24"/>
    <mergeCell ref="B25:F25"/>
    <mergeCell ref="B39:B58"/>
    <mergeCell ref="E39:E65"/>
    <mergeCell ref="B60:B63"/>
    <mergeCell ref="D60:D65"/>
  </mergeCells>
  <phoneticPr fontId="22" type="noConversion"/>
  <dataValidations disablePrompts="1" count="1">
    <dataValidation type="custom" allowBlank="1" showInputMessage="1" showErrorMessage="1" sqref="I65 E68" xr:uid="{A64497AC-4874-4D14-8606-E9F3C73D1405}">
      <formula1>"V"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Blank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Hsu</dc:creator>
  <cp:lastModifiedBy>Verny Chen</cp:lastModifiedBy>
  <dcterms:created xsi:type="dcterms:W3CDTF">2026-01-30T03:13:28Z</dcterms:created>
  <dcterms:modified xsi:type="dcterms:W3CDTF">2026-06-07T12:08:10Z</dcterms:modified>
</cp:coreProperties>
</file>